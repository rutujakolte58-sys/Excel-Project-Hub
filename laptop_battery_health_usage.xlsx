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6067a801665c6b88/Documents/Desktop/"/>
    </mc:Choice>
  </mc:AlternateContent>
  <xr:revisionPtr revIDLastSave="4" documentId="13_ncr:1_{271A5C09-90FC-4419-BC12-B1DF1A8005DD}" xr6:coauthVersionLast="47" xr6:coauthVersionMax="47" xr10:uidLastSave="{0356C0EE-ADA5-408A-95ED-BB3C3FA97557}"/>
  <bookViews>
    <workbookView xWindow="-108" yWindow="-108" windowWidth="23256" windowHeight="12456" firstSheet="3" activeTab="7" xr2:uid="{E43CCDE7-B960-4AB8-AB77-8736052CC713}"/>
  </bookViews>
  <sheets>
    <sheet name="Count Of Usage Type" sheetId="2" r:id="rId1"/>
    <sheet name="Usage type Charging Cycles" sheetId="3" r:id="rId2"/>
    <sheet name="Performance Rating" sheetId="4" r:id="rId3"/>
    <sheet name="Sum Of Charging Cycles" sheetId="5" r:id="rId4"/>
    <sheet name="Sheet2" sheetId="9" r:id="rId5"/>
    <sheet name="Avg Charge Limit Percent" sheetId="6" r:id="rId6"/>
    <sheet name="laptop_battery_health_usage" sheetId="1" r:id="rId7"/>
    <sheet name="dashboard" sheetId="7" r:id="rId8"/>
    <sheet name="KPI Calculation" sheetId="8" r:id="rId9"/>
  </sheets>
  <definedNames>
    <definedName name="Slicer_brand">#N/A</definedName>
    <definedName name="Slicer_usage_type">#N/A</definedName>
    <definedName name="Slicer_usage_type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8" l="1"/>
  <c r="B9" i="8"/>
  <c r="B7" i="8"/>
  <c r="B5" i="8"/>
  <c r="B6" i="8"/>
  <c r="B16" i="3"/>
  <c r="B15" i="3"/>
</calcChain>
</file>

<file path=xl/sharedStrings.xml><?xml version="1.0" encoding="utf-8"?>
<sst xmlns="http://schemas.openxmlformats.org/spreadsheetml/2006/main" count="311" uniqueCount="100">
  <si>
    <t>device_id</t>
  </si>
  <si>
    <t>brand</t>
  </si>
  <si>
    <t>model_year</t>
  </si>
  <si>
    <t>os</t>
  </si>
  <si>
    <t>usage_type</t>
  </si>
  <si>
    <t>daily_usage_hours</t>
  </si>
  <si>
    <t>charging_cycles</t>
  </si>
  <si>
    <t>avg_charge_limit_percent</t>
  </si>
  <si>
    <t>battery_health_percent</t>
  </si>
  <si>
    <t>battery_age_months</t>
  </si>
  <si>
    <t>overheating_issues</t>
  </si>
  <si>
    <t>performance_rating</t>
  </si>
  <si>
    <t>LB001</t>
  </si>
  <si>
    <t>HP</t>
  </si>
  <si>
    <t>Windows</t>
  </si>
  <si>
    <t>Office</t>
  </si>
  <si>
    <t>No</t>
  </si>
  <si>
    <t>LB002</t>
  </si>
  <si>
    <t>Dell</t>
  </si>
  <si>
    <t>Programming</t>
  </si>
  <si>
    <t>Yes</t>
  </si>
  <si>
    <t>LB003</t>
  </si>
  <si>
    <t>Apple</t>
  </si>
  <si>
    <t>macOS</t>
  </si>
  <si>
    <t>Creative</t>
  </si>
  <si>
    <t>LB004</t>
  </si>
  <si>
    <t>Lenovo</t>
  </si>
  <si>
    <t>Student</t>
  </si>
  <si>
    <t>LB005</t>
  </si>
  <si>
    <t>Asus</t>
  </si>
  <si>
    <t>Gaming</t>
  </si>
  <si>
    <t>LB006</t>
  </si>
  <si>
    <t>Acer</t>
  </si>
  <si>
    <t>LB007</t>
  </si>
  <si>
    <t>LB008</t>
  </si>
  <si>
    <t>LB009</t>
  </si>
  <si>
    <t>LB010</t>
  </si>
  <si>
    <t>LB011</t>
  </si>
  <si>
    <t>LB012</t>
  </si>
  <si>
    <t>LB013</t>
  </si>
  <si>
    <t>LB014</t>
  </si>
  <si>
    <t>LB015</t>
  </si>
  <si>
    <t>LB016</t>
  </si>
  <si>
    <t>LB017</t>
  </si>
  <si>
    <t>LB018</t>
  </si>
  <si>
    <t>LB019</t>
  </si>
  <si>
    <t>LB020</t>
  </si>
  <si>
    <t>LB021</t>
  </si>
  <si>
    <t>LB022</t>
  </si>
  <si>
    <t>LB023</t>
  </si>
  <si>
    <t>LB024</t>
  </si>
  <si>
    <t>LB025</t>
  </si>
  <si>
    <t>LB026</t>
  </si>
  <si>
    <t>LB027</t>
  </si>
  <si>
    <t>LB028</t>
  </si>
  <si>
    <t>LB029</t>
  </si>
  <si>
    <t>LB030</t>
  </si>
  <si>
    <t>LB031</t>
  </si>
  <si>
    <t>LB032</t>
  </si>
  <si>
    <t>LB033</t>
  </si>
  <si>
    <t>LB034</t>
  </si>
  <si>
    <t>LB035</t>
  </si>
  <si>
    <t>LB036</t>
  </si>
  <si>
    <t>LB037</t>
  </si>
  <si>
    <t>LB038</t>
  </si>
  <si>
    <t>LB039</t>
  </si>
  <si>
    <t>LB040</t>
  </si>
  <si>
    <t>LB041</t>
  </si>
  <si>
    <t>LB042</t>
  </si>
  <si>
    <t>LB043</t>
  </si>
  <si>
    <t>LB044</t>
  </si>
  <si>
    <t>LB045</t>
  </si>
  <si>
    <t>LB046</t>
  </si>
  <si>
    <t>LB047</t>
  </si>
  <si>
    <t>LB048</t>
  </si>
  <si>
    <t>LB049</t>
  </si>
  <si>
    <t>LB050</t>
  </si>
  <si>
    <t>Row Labels</t>
  </si>
  <si>
    <t>Grand Total</t>
  </si>
  <si>
    <t>Count of usage_type</t>
  </si>
  <si>
    <t>Sum of performance_rating</t>
  </si>
  <si>
    <t>Sum of charging_cycles</t>
  </si>
  <si>
    <t>Min Battery Health Percent</t>
  </si>
  <si>
    <t>Sum of avg_charge_limit_percent</t>
  </si>
  <si>
    <t>KPI Calculation</t>
  </si>
  <si>
    <t>Average Battery Health %</t>
  </si>
  <si>
    <t>Average Daily Usage Hours</t>
  </si>
  <si>
    <t>Average Charging Cycles Per Laptop</t>
  </si>
  <si>
    <t>Total Chargin Cycles</t>
  </si>
  <si>
    <t xml:space="preserve"> Measures total Battery Wear</t>
  </si>
  <si>
    <t>Purpose</t>
  </si>
  <si>
    <t>Overall Condition Of laptop batteries</t>
  </si>
  <si>
    <t>Understanding typical laptop Usage</t>
  </si>
  <si>
    <t>Battery Degradation Rate(%)</t>
  </si>
  <si>
    <t>Problem</t>
  </si>
  <si>
    <t>Solution</t>
  </si>
  <si>
    <t>Column1</t>
  </si>
  <si>
    <t>Column2</t>
  </si>
  <si>
    <t>Column3</t>
  </si>
  <si>
    <t>Column4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</si>
</sst>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Segoe U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0" fillId="0" borderId="10" xfId="0" applyBorder="1"/>
    <xf numFmtId="10" fontId="0" fillId="0" borderId="0" xfId="0" applyNumberFormat="1"/>
    <xf numFmtId="0" fontId="0" fillId="33" borderId="0" xfId="0" applyFill="1"/>
    <xf numFmtId="0" fontId="18" fillId="34" borderId="0" xfId="0" applyFont="1" applyFill="1"/>
    <xf numFmtId="9" fontId="0" fillId="0" borderId="0" xfId="0" applyNumberFormat="1"/>
    <xf numFmtId="9"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[laptop_battery_health_usage.xlsx]Count Of Usage Type!PivotTable1</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ofPieChart>
        <c:ofPieType val="pie"/>
        <c:varyColors val="1"/>
        <c:ser>
          <c:idx val="0"/>
          <c:order val="0"/>
          <c:tx>
            <c:strRef>
              <c:f>'Count Of Usage Type'!$B$3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BC7-4EA7-90AE-B83EC4E798D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BC7-4EA7-90AE-B83EC4E798D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BC7-4EA7-90AE-B83EC4E798D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BC7-4EA7-90AE-B83EC4E798D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BC7-4EA7-90AE-B83EC4E798D4}"/>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BC7-4EA7-90AE-B83EC4E798D4}"/>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1BC7-4EA7-90AE-B83EC4E798D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 Of Usage Type'!$A$4:$A$7</c:f>
              <c:strCache>
                <c:ptCount val="3"/>
                <c:pt idx="0">
                  <c:v>Apple</c:v>
                </c:pt>
                <c:pt idx="1">
                  <c:v>Dell</c:v>
                </c:pt>
                <c:pt idx="2">
                  <c:v>Lenovo</c:v>
                </c:pt>
              </c:strCache>
            </c:strRef>
          </c:cat>
          <c:val>
            <c:numRef>
              <c:f>'Count Of Usage Type'!$B$4:$B$7</c:f>
              <c:numCache>
                <c:formatCode>General</c:formatCode>
                <c:ptCount val="3"/>
                <c:pt idx="0">
                  <c:v>4</c:v>
                </c:pt>
                <c:pt idx="1">
                  <c:v>3</c:v>
                </c:pt>
                <c:pt idx="2">
                  <c:v>5</c:v>
                </c:pt>
              </c:numCache>
            </c:numRef>
          </c:val>
          <c:extLst>
            <c:ext xmlns:c16="http://schemas.microsoft.com/office/drawing/2014/chart" uri="{C3380CC4-5D6E-409C-BE32-E72D297353CC}">
              <c16:uniqueId val="{00000000-C050-4F04-8359-129230D9F027}"/>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[laptop_battery_health_usage.xlsx]Usage type Charging Cycles!PivotTable1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'Usage type Charging Cycles'!$B$3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'Usage type Charging Cycles'!$A$4:$A$5</c:f>
              <c:strCache>
                <c:ptCount val="1"/>
                <c:pt idx="0">
                  <c:v>Student</c:v>
                </c:pt>
              </c:strCache>
            </c:strRef>
          </c:cat>
          <c:val>
            <c:numRef>
              <c:f>'Usage type Charging Cycles'!$B$4:$B$5</c:f>
              <c:numCache>
                <c:formatCode>General</c:formatCode>
                <c:ptCount val="1"/>
                <c:pt idx="0">
                  <c:v>6080</c:v>
                </c:pt>
              </c:numCache>
            </c:numRef>
          </c:val>
          <c:extLst>
            <c:ext xmlns:c16="http://schemas.microsoft.com/office/drawing/2014/chart" uri="{C3380CC4-5D6E-409C-BE32-E72D297353CC}">
              <c16:uniqueId val="{00000000-242D-4208-98B2-E5F6E40805BE}"/>
            </c:ext>
          </c:extLst>
        </c:ser>
        <c:dLbls>
          <c:dLblPos val="outEnd"/>
          <c:showLegendKey val="0"/>
          <c:showVal val="1"/>
          <c:showCatName val="0"/>
          <c:showSerName val="0"/>
          <c:showPercent val="0"/>
          <c:showBubbleSize val="0"/>
        </c:dLbls>
        <c:gapWidth val="219"/>
        <c:overlap val="-27"/>
        <c:axId val="1048520144"/>
        <c:axId val="1048529264"/>
      </c:barChart>
      <c:catAx>
        <c:axId val="104852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29264"/>
        <c:crosses val="autoZero"/>
        <c:auto val="1"/>
        <c:lblAlgn val="ctr"/>
        <c:lblOffset val="100"/>
        <c:noMultiLvlLbl val="0"/>
      </c:catAx>
      <c:valAx>
        <c:axId val="104852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20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[laptop_battery_health_usage.xlsx]Performance Rating!PivotTable2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'Performance Rating'!$B$3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5E-4F02-92C0-5E5CBE5F3349}"/>
              </c:ext>
            </c:extLst>
          </c:dPt>
          <c:dLbls>
            <c:spPr>
              <a:solidFill>
                <a:schemeClr val="bg2"/>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'Performance Rating'!$A$4:$A$5</c:f>
              <c:strCache>
                <c:ptCount val="1"/>
                <c:pt idx="0">
                  <c:v>Asus</c:v>
                </c:pt>
              </c:strCache>
            </c:strRef>
          </c:cat>
          <c:val>
            <c:numRef>
              <c:f>'Performance Rating'!$B$4:$B$5</c:f>
              <c:numCache>
                <c:formatCode>General</c:formatCode>
                <c:ptCount val="1"/>
                <c:pt idx="0">
                  <c:v>21</c:v>
                </c:pt>
              </c:numCache>
            </c:numRef>
          </c:val>
          <c:extLst>
            <c:ext xmlns:c16="http://schemas.microsoft.com/office/drawing/2014/chart" uri="{C3380CC4-5D6E-409C-BE32-E72D297353CC}">
              <c16:uniqueId val="{00000000-33B4-4935-9914-DDA114260EC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[laptop_battery_health_usage.xlsx]Sum Of Charging Cycles!PivotTable3</c:name>
    <c:fmtId val="0"/>
  </c:pivotSource>
  <c:chart>
    <c:autoTitleDeleted val="1"/>
    <c:pivotFmts>
      <c:pivotFmt>
        <c:idx val="0"/>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'Sum Of Charging Cycles'!$B$3</c:f>
              <c:strCache>
                <c:ptCount val="1"/>
                <c:pt idx="0">
                  <c:v>Total</c:v>
                </c:pt>
              </c:strCache>
            </c:strRef>
          </c:tx>
          <c:spPr>
            <a:ln w="28575" cap="rnd">
              <a:solidFill>
                <a:schemeClr val="accent1"/>
              </a:solidFill>
              <a:round/>
            </a:ln>
            <a:effectLst/>
          </c:spPr>
          <c:marker>
            <c:symbol val="circle"/>
            <c:size val="5"/>
            <c:spPr>
              <a:solidFill>
                <a:srgbClr val="FF0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Charging Cycles'!$A$4:$A$10</c:f>
              <c:strCache>
                <c:ptCount val="6"/>
                <c:pt idx="0">
                  <c:v>Acer</c:v>
                </c:pt>
                <c:pt idx="1">
                  <c:v>Apple</c:v>
                </c:pt>
                <c:pt idx="2">
                  <c:v>Asus</c:v>
                </c:pt>
                <c:pt idx="3">
                  <c:v>Dell</c:v>
                </c:pt>
                <c:pt idx="4">
                  <c:v>HP</c:v>
                </c:pt>
                <c:pt idx="5">
                  <c:v>Lenovo</c:v>
                </c:pt>
              </c:strCache>
            </c:strRef>
          </c:cat>
          <c:val>
            <c:numRef>
              <c:f>'Sum Of Charging Cycles'!$B$4:$B$10</c:f>
              <c:numCache>
                <c:formatCode>General</c:formatCode>
                <c:ptCount val="6"/>
                <c:pt idx="0">
                  <c:v>4250</c:v>
                </c:pt>
                <c:pt idx="1">
                  <c:v>3680</c:v>
                </c:pt>
                <c:pt idx="2">
                  <c:v>5530</c:v>
                </c:pt>
                <c:pt idx="3">
                  <c:v>4030</c:v>
                </c:pt>
                <c:pt idx="4">
                  <c:v>4540</c:v>
                </c:pt>
                <c:pt idx="5">
                  <c:v>4290</c:v>
                </c:pt>
              </c:numCache>
            </c:numRef>
          </c:val>
          <c:smooth val="0"/>
          <c:extLst>
            <c:ext xmlns:c16="http://schemas.microsoft.com/office/drawing/2014/chart" uri="{C3380CC4-5D6E-409C-BE32-E72D297353CC}">
              <c16:uniqueId val="{00000000-1270-4A2D-B4AF-1C786345BB32}"/>
            </c:ext>
          </c:extLst>
        </c:ser>
        <c:dLbls>
          <c:dLblPos val="t"/>
          <c:showLegendKey val="0"/>
          <c:showVal val="1"/>
          <c:showCatName val="0"/>
          <c:showSerName val="0"/>
          <c:showPercent val="0"/>
          <c:showBubbleSize val="0"/>
        </c:dLbls>
        <c:marker val="1"/>
        <c:smooth val="0"/>
        <c:axId val="1048539344"/>
        <c:axId val="1048549904"/>
      </c:lineChart>
      <c:catAx>
        <c:axId val="104853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49904"/>
        <c:crosses val="autoZero"/>
        <c:auto val="1"/>
        <c:lblAlgn val="ctr"/>
        <c:lblOffset val="100"/>
        <c:noMultiLvlLbl val="0"/>
      </c:catAx>
      <c:valAx>
        <c:axId val="104854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3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[laptop_battery_health_usage.xlsx]Avg Charge Limit Percent!PivotTable1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'Avg Charge Limit Percent'!$B$3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Charge Limit Percent'!$A$4:$A$10</c:f>
              <c:strCache>
                <c:ptCount val="6"/>
                <c:pt idx="0">
                  <c:v>Acer</c:v>
                </c:pt>
                <c:pt idx="1">
                  <c:v>Apple</c:v>
                </c:pt>
                <c:pt idx="2">
                  <c:v>Asus</c:v>
                </c:pt>
                <c:pt idx="3">
                  <c:v>Dell</c:v>
                </c:pt>
                <c:pt idx="4">
                  <c:v>HP</c:v>
                </c:pt>
                <c:pt idx="5">
                  <c:v>Lenovo</c:v>
                </c:pt>
              </c:strCache>
            </c:strRef>
          </c:cat>
          <c:val>
            <c:numRef>
              <c:f>'Avg Charge Limit Percent'!$B$4:$B$10</c:f>
              <c:numCache>
                <c:formatCode>0.00%</c:formatCode>
                <c:ptCount val="6"/>
                <c:pt idx="0">
                  <c:v>0.16503800217155265</c:v>
                </c:pt>
                <c:pt idx="1">
                  <c:v>0.16069489685124863</c:v>
                </c:pt>
                <c:pt idx="2">
                  <c:v>0.16829533116178066</c:v>
                </c:pt>
                <c:pt idx="3">
                  <c:v>0.16395222584147665</c:v>
                </c:pt>
                <c:pt idx="4">
                  <c:v>0.18132464712269272</c:v>
                </c:pt>
                <c:pt idx="5">
                  <c:v>0.16069489685124863</c:v>
                </c:pt>
              </c:numCache>
            </c:numRef>
          </c:val>
          <c:extLst>
            <c:ext xmlns:c16="http://schemas.microsoft.com/office/drawing/2014/chart" uri="{C3380CC4-5D6E-409C-BE32-E72D297353CC}">
              <c16:uniqueId val="{00000000-E596-4B74-A6C1-CB0D9731FDEE}"/>
            </c:ext>
          </c:extLst>
        </c:ser>
        <c:dLbls>
          <c:showLegendKey val="0"/>
          <c:showVal val="1"/>
          <c:showCatName val="0"/>
          <c:showSerName val="0"/>
          <c:showPercent val="0"/>
          <c:showBubbleSize val="0"/>
        </c:dLbls>
        <c:axId val="1579204928"/>
        <c:axId val="1579222688"/>
      </c:areaChart>
      <c:catAx>
        <c:axId val="1579204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222688"/>
        <c:crosses val="autoZero"/>
        <c:auto val="1"/>
        <c:lblAlgn val="ctr"/>
        <c:lblOffset val="100"/>
        <c:noMultiLvlLbl val="0"/>
      </c:catAx>
      <c:valAx>
        <c:axId val="15792226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2049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[laptop_battery_health_usage.xlsx]Performance Rating!PivotTable2</c:name>
    <c:fmtId val="7"/>
  </c:pivotSource>
  <c:chart>
    <c:autoTitleDeleted val="1"/>
    <c:pivotFmts>
      <c:pivotFmt>
        <c:idx val="0"/>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bg2"/>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manualLayout>
          <c:layoutTarget val="inner"/>
          <c:xMode val="edge"/>
          <c:yMode val="edge"/>
          <c:x val="0.2191765091863517"/>
          <c:y val="0.17149679206765819"/>
          <c:w val="0.41581364829396328"/>
          <c:h val="0.69302274715660539"/>
        </c:manualLayout>
      </c:layout>
      <c:doughnutChart>
        <c:varyColors val="1"/>
        <c:ser>
          <c:idx val="0"/>
          <c:order val="0"/>
          <c:tx>
            <c:strRef>
              <c:f>'Performance Rating'!$B$3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26-49AD-B2A6-AE127F11E8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26-49AD-B2A6-AE127F11E814}"/>
              </c:ext>
            </c:extLst>
          </c:dPt>
          <c:dLbls>
            <c:spPr>
              <a:solidFill>
                <a:schemeClr val="bg2"/>
              </a:solid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'Performance Rating'!$A$4:$A$5</c:f>
              <c:strCache>
                <c:ptCount val="1"/>
                <c:pt idx="0">
                  <c:v>Asus</c:v>
                </c:pt>
              </c:strCache>
            </c:strRef>
          </c:cat>
          <c:val>
            <c:numRef>
              <c:f>'Performance Rating'!$B$4:$B$5</c:f>
              <c:numCache>
                <c:formatCode>General</c:formatCode>
                <c:ptCount val="1"/>
                <c:pt idx="0">
                  <c:v>21</c:v>
                </c:pt>
              </c:numCache>
            </c:numRef>
          </c:val>
          <c:extLst>
            <c:ext xmlns:c16="http://schemas.microsoft.com/office/drawing/2014/chart" uri="{C3380CC4-5D6E-409C-BE32-E72D297353CC}">
              <c16:uniqueId val="{00000004-7626-49AD-B2A6-AE127F11E81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[laptop_battery_health_usage.xlsx]Count Of Usage Type!PivotTable1</c:name>
    <c:fmtId val="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3.0555555555555555E-2"/>
          <c:y val="0.12860892388451445"/>
          <c:w val="0.80017585301837268"/>
          <c:h val="0.80657626130067073"/>
        </c:manualLayout>
      </c:layout>
      <c:ofPieChart>
        <c:ofPieType val="pie"/>
        <c:varyColors val="1"/>
        <c:ser>
          <c:idx val="0"/>
          <c:order val="0"/>
          <c:tx>
            <c:strRef>
              <c:f>'Count Of Usage Type'!$B$3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609-4682-AED9-35A3BC5E16A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609-4682-AED9-35A3BC5E16A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609-4682-AED9-35A3BC5E16A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609-4682-AED9-35A3BC5E16A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609-4682-AED9-35A3BC5E16A4}"/>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E609-4682-AED9-35A3BC5E16A4}"/>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E609-4682-AED9-35A3BC5E16A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 Of Usage Type'!$A$4:$A$7</c:f>
              <c:strCache>
                <c:ptCount val="3"/>
                <c:pt idx="0">
                  <c:v>Apple</c:v>
                </c:pt>
                <c:pt idx="1">
                  <c:v>Dell</c:v>
                </c:pt>
                <c:pt idx="2">
                  <c:v>Lenovo</c:v>
                </c:pt>
              </c:strCache>
            </c:strRef>
          </c:cat>
          <c:val>
            <c:numRef>
              <c:f>'Count Of Usage Type'!$B$4:$B$7</c:f>
              <c:numCache>
                <c:formatCode>General</c:formatCode>
                <c:ptCount val="3"/>
                <c:pt idx="0">
                  <c:v>4</c:v>
                </c:pt>
                <c:pt idx="1">
                  <c:v>3</c:v>
                </c:pt>
                <c:pt idx="2">
                  <c:v>5</c:v>
                </c:pt>
              </c:numCache>
            </c:numRef>
          </c:val>
          <c:extLst>
            <c:ext xmlns:c16="http://schemas.microsoft.com/office/drawing/2014/chart" uri="{C3380CC4-5D6E-409C-BE32-E72D297353CC}">
              <c16:uniqueId val="{0000000E-E609-4682-AED9-35A3BC5E16A4}"/>
            </c:ext>
          </c:extLst>
        </c:ser>
        <c:dLbls>
          <c:dLblPos val="inEnd"/>
          <c:showLegendKey val="0"/>
          <c:showVal val="0"/>
          <c:showCatName val="0"/>
          <c:showSerName val="0"/>
          <c:showPercent val="1"/>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[laptop_battery_health_usage.xlsx]Sum Of Charging Cycles!PivotTable3</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8808237175997E-2"/>
          <c:y val="0.18371299623788923"/>
          <c:w val="0.72643132165000002"/>
          <c:h val="0.57361925071862463"/>
        </c:manualLayout>
      </c:layout>
      <c:lineChart>
        <c:grouping val="stacked"/>
        <c:varyColors val="0"/>
        <c:ser>
          <c:idx val="0"/>
          <c:order val="0"/>
          <c:tx>
            <c:strRef>
              <c:f>'Sum Of Charging Cycles'!$B$3</c:f>
              <c:strCache>
                <c:ptCount val="1"/>
                <c:pt idx="0">
                  <c:v>Total</c:v>
                </c:pt>
              </c:strCache>
            </c:strRef>
          </c:tx>
          <c:spPr>
            <a:ln w="28575" cap="rnd">
              <a:solidFill>
                <a:schemeClr val="accent1"/>
              </a:solidFill>
              <a:round/>
            </a:ln>
            <a:effectLst/>
          </c:spPr>
          <c:marker>
            <c:symbol val="circle"/>
            <c:size val="5"/>
            <c:spPr>
              <a:solidFill>
                <a:srgbClr val="FF0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 Of Charging Cycles'!$A$4:$A$10</c:f>
              <c:strCache>
                <c:ptCount val="6"/>
                <c:pt idx="0">
                  <c:v>Acer</c:v>
                </c:pt>
                <c:pt idx="1">
                  <c:v>Apple</c:v>
                </c:pt>
                <c:pt idx="2">
                  <c:v>Asus</c:v>
                </c:pt>
                <c:pt idx="3">
                  <c:v>Dell</c:v>
                </c:pt>
                <c:pt idx="4">
                  <c:v>HP</c:v>
                </c:pt>
                <c:pt idx="5">
                  <c:v>Lenovo</c:v>
                </c:pt>
              </c:strCache>
            </c:strRef>
          </c:cat>
          <c:val>
            <c:numRef>
              <c:f>'Sum Of Charging Cycles'!$B$4:$B$10</c:f>
              <c:numCache>
                <c:formatCode>General</c:formatCode>
                <c:ptCount val="6"/>
                <c:pt idx="0">
                  <c:v>4250</c:v>
                </c:pt>
                <c:pt idx="1">
                  <c:v>3680</c:v>
                </c:pt>
                <c:pt idx="2">
                  <c:v>5530</c:v>
                </c:pt>
                <c:pt idx="3">
                  <c:v>4030</c:v>
                </c:pt>
                <c:pt idx="4">
                  <c:v>4540</c:v>
                </c:pt>
                <c:pt idx="5">
                  <c:v>4290</c:v>
                </c:pt>
              </c:numCache>
            </c:numRef>
          </c:val>
          <c:smooth val="0"/>
          <c:extLst>
            <c:ext xmlns:c16="http://schemas.microsoft.com/office/drawing/2014/chart" uri="{C3380CC4-5D6E-409C-BE32-E72D297353CC}">
              <c16:uniqueId val="{00000000-45FE-45D9-B8A5-68BC7ECDBA7E}"/>
            </c:ext>
          </c:extLst>
        </c:ser>
        <c:dLbls>
          <c:dLblPos val="t"/>
          <c:showLegendKey val="0"/>
          <c:showVal val="1"/>
          <c:showCatName val="0"/>
          <c:showSerName val="0"/>
          <c:showPercent val="0"/>
          <c:showBubbleSize val="0"/>
        </c:dLbls>
        <c:marker val="1"/>
        <c:smooth val="0"/>
        <c:axId val="1048539344"/>
        <c:axId val="1048549904"/>
      </c:lineChart>
      <c:catAx>
        <c:axId val="104853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49904"/>
        <c:crosses val="autoZero"/>
        <c:auto val="1"/>
        <c:lblAlgn val="ctr"/>
        <c:lblOffset val="100"/>
        <c:noMultiLvlLbl val="0"/>
      </c:catAx>
      <c:valAx>
        <c:axId val="1048549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3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[laptop_battery_health_usage.xlsx]Avg Charge Limit Percent!PivotTable1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'Avg Charge Limit Percent'!$B$3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Charge Limit Percent'!$A$4:$A$10</c:f>
              <c:strCache>
                <c:ptCount val="6"/>
                <c:pt idx="0">
                  <c:v>Acer</c:v>
                </c:pt>
                <c:pt idx="1">
                  <c:v>Apple</c:v>
                </c:pt>
                <c:pt idx="2">
                  <c:v>Asus</c:v>
                </c:pt>
                <c:pt idx="3">
                  <c:v>Dell</c:v>
                </c:pt>
                <c:pt idx="4">
                  <c:v>HP</c:v>
                </c:pt>
                <c:pt idx="5">
                  <c:v>Lenovo</c:v>
                </c:pt>
              </c:strCache>
            </c:strRef>
          </c:cat>
          <c:val>
            <c:numRef>
              <c:f>'Avg Charge Limit Percent'!$B$4:$B$10</c:f>
              <c:numCache>
                <c:formatCode>0.00%</c:formatCode>
                <c:ptCount val="6"/>
                <c:pt idx="0">
                  <c:v>0.16503800217155265</c:v>
                </c:pt>
                <c:pt idx="1">
                  <c:v>0.16069489685124863</c:v>
                </c:pt>
                <c:pt idx="2">
                  <c:v>0.16829533116178066</c:v>
                </c:pt>
                <c:pt idx="3">
                  <c:v>0.16395222584147665</c:v>
                </c:pt>
                <c:pt idx="4">
                  <c:v>0.18132464712269272</c:v>
                </c:pt>
                <c:pt idx="5">
                  <c:v>0.16069489685124863</c:v>
                </c:pt>
              </c:numCache>
            </c:numRef>
          </c:val>
          <c:extLst>
            <c:ext xmlns:c16="http://schemas.microsoft.com/office/drawing/2014/chart" uri="{C3380CC4-5D6E-409C-BE32-E72D297353CC}">
              <c16:uniqueId val="{00000000-FDD0-400E-8B04-4656E71DE913}"/>
            </c:ext>
          </c:extLst>
        </c:ser>
        <c:dLbls>
          <c:showLegendKey val="0"/>
          <c:showVal val="1"/>
          <c:showCatName val="0"/>
          <c:showSerName val="0"/>
          <c:showPercent val="0"/>
          <c:showBubbleSize val="0"/>
        </c:dLbls>
        <c:axId val="1579204928"/>
        <c:axId val="1579222688"/>
      </c:areaChart>
      <c:catAx>
        <c:axId val="15792049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222688"/>
        <c:crosses val="autoZero"/>
        <c:auto val="1"/>
        <c:lblAlgn val="ctr"/>
        <c:lblOffset val="100"/>
        <c:noMultiLvlLbl val="0"/>
      </c:catAx>
      <c:valAx>
        <c:axId val="15792226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9204928"/>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[laptop_battery_health_usage.xlsx]Usage type Charging Cycles!PivotTable1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'Usage type Charging Cycles'!$B$3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'Usage type Charging Cycles'!$A$4:$A$5</c:f>
              <c:strCache>
                <c:ptCount val="1"/>
                <c:pt idx="0">
                  <c:v>Student</c:v>
                </c:pt>
              </c:strCache>
            </c:strRef>
          </c:cat>
          <c:val>
            <c:numRef>
              <c:f>'Usage type Charging Cycles'!$B$4:$B$5</c:f>
              <c:numCache>
                <c:formatCode>General</c:formatCode>
                <c:ptCount val="1"/>
                <c:pt idx="0">
                  <c:v>6080</c:v>
                </c:pt>
              </c:numCache>
            </c:numRef>
          </c:val>
          <c:extLst>
            <c:ext xmlns:c16="http://schemas.microsoft.com/office/drawing/2014/chart" uri="{C3380CC4-5D6E-409C-BE32-E72D297353CC}">
              <c16:uniqueId val="{00000000-5779-478D-84BC-1660257B71D3}"/>
            </c:ext>
          </c:extLst>
        </c:ser>
        <c:dLbls>
          <c:dLblPos val="outEnd"/>
          <c:showLegendKey val="0"/>
          <c:showVal val="1"/>
          <c:showCatName val="0"/>
          <c:showSerName val="0"/>
          <c:showPercent val="0"/>
          <c:showBubbleSize val="0"/>
        </c:dLbls>
        <c:gapWidth val="219"/>
        <c:overlap val="-27"/>
        <c:axId val="1048520144"/>
        <c:axId val="1048529264"/>
      </c:barChart>
      <c:catAx>
        <c:axId val="104852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29264"/>
        <c:crosses val="autoZero"/>
        <c:auto val="1"/>
        <c:lblAlgn val="ctr"/>
        <c:lblOffset val="100"/>
        <c:noMultiLvlLbl val="0"/>
      </c:catAx>
      <c:valAx>
        <c:axId val="1048529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5201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hyperlink" Target="https://pxhere.com/en/photo/913890" TargetMode="External"/><Relationship Id="rId1" Type="http://schemas.openxmlformats.org/officeDocument/2006/relationships/image" Target="../media/image1.jpeg"/><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381000</xdr:colOff>
      <xdr:row>6</xdr:row>
      <xdr:rowOff>45720</xdr:rowOff>
    </xdr:from>
    <xdr:to>
      <xdr:col>11</xdr:col>
      <xdr:colOff>76200</xdr:colOff>
      <xdr:row>21</xdr:row>
      <xdr:rowOff>45720</xdr:rowOff>
    </xdr:to>
    <xdr:graphicFrame macro="">
      <xdr:nvGraphicFramePr>
        <xdr:cNvPr id="2" name="Chart 1">
          <a:extLst>
            <a:ext uri="{FF2B5EF4-FFF2-40B4-BE49-F238E27FC236}">
              <a16:creationId xmlns:a16="http://schemas.microsoft.com/office/drawing/2014/main" id="{1F5E3B0D-3C5E-2E48-8075-A884C5904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335280</xdr:colOff>
      <xdr:row>6</xdr:row>
      <xdr:rowOff>45720</xdr:rowOff>
    </xdr:from>
    <xdr:to>
      <xdr:col>10</xdr:col>
      <xdr:colOff>266700</xdr:colOff>
      <xdr:row>21</xdr:row>
      <xdr:rowOff>45720</xdr:rowOff>
    </xdr:to>
    <xdr:graphicFrame macro="">
      <xdr:nvGraphicFramePr>
        <xdr:cNvPr id="2" name="Chart 1">
          <a:extLst>
            <a:ext uri="{FF2B5EF4-FFF2-40B4-BE49-F238E27FC236}">
              <a16:creationId xmlns:a16="http://schemas.microsoft.com/office/drawing/2014/main" id="{7B74B7F6-A238-7DEE-F9D9-577C157AA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586740</xdr:colOff>
      <xdr:row>6</xdr:row>
      <xdr:rowOff>45720</xdr:rowOff>
    </xdr:from>
    <xdr:to>
      <xdr:col>10</xdr:col>
      <xdr:colOff>281940</xdr:colOff>
      <xdr:row>21</xdr:row>
      <xdr:rowOff>45720</xdr:rowOff>
    </xdr:to>
    <xdr:graphicFrame macro="">
      <xdr:nvGraphicFramePr>
        <xdr:cNvPr id="4" name="Chart 3">
          <a:extLst>
            <a:ext uri="{FF2B5EF4-FFF2-40B4-BE49-F238E27FC236}">
              <a16:creationId xmlns:a16="http://schemas.microsoft.com/office/drawing/2014/main" id="{916094C8-1A56-1B52-5037-3C3FC3213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434340</xdr:colOff>
      <xdr:row>4</xdr:row>
      <xdr:rowOff>0</xdr:rowOff>
    </xdr:from>
    <xdr:to>
      <xdr:col>14</xdr:col>
      <xdr:colOff>434340</xdr:colOff>
      <xdr:row>17</xdr:row>
      <xdr:rowOff>89535</xdr:rowOff>
    </xdr:to>
    <mc:AlternateContent xmlns:mc="http://schemas.openxmlformats.org/markup-compatibility/2006" xmlns:a14="http://schemas.microsoft.com/office/drawing/2010/main">
      <mc:Choice Requires="a14">
        <xdr:graphicFrame macro="">
          <xdr:nvGraphicFramePr>
            <xdr:cNvPr id="5" name="brand">
              <a:extLst>
                <a:ext uri="{FF2B5EF4-FFF2-40B4-BE49-F238E27FC236}">
                  <a16:creationId xmlns:a16="http://schemas.microsoft.com/office/drawing/2014/main" id="{D96298B0-77AE-1E10-5F88-FC009856C2BB}"/>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8465820" y="731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228600</xdr:colOff>
      <xdr:row>6</xdr:row>
      <xdr:rowOff>45720</xdr:rowOff>
    </xdr:from>
    <xdr:to>
      <xdr:col>10</xdr:col>
      <xdr:colOff>533400</xdr:colOff>
      <xdr:row>21</xdr:row>
      <xdr:rowOff>45720</xdr:rowOff>
    </xdr:to>
    <xdr:graphicFrame macro="">
      <xdr:nvGraphicFramePr>
        <xdr:cNvPr id="2" name="Chart 1">
          <a:extLst>
            <a:ext uri="{FF2B5EF4-FFF2-40B4-BE49-F238E27FC236}">
              <a16:creationId xmlns:a16="http://schemas.microsoft.com/office/drawing/2014/main" id="{60D46AB6-AD80-98E4-5A70-46519F7FCC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228600</xdr:colOff>
      <xdr:row>6</xdr:row>
      <xdr:rowOff>45720</xdr:rowOff>
    </xdr:from>
    <xdr:to>
      <xdr:col>9</xdr:col>
      <xdr:colOff>533400</xdr:colOff>
      <xdr:row>21</xdr:row>
      <xdr:rowOff>45720</xdr:rowOff>
    </xdr:to>
    <xdr:graphicFrame macro="">
      <xdr:nvGraphicFramePr>
        <xdr:cNvPr id="2" name="Chart 1">
          <a:extLst>
            <a:ext uri="{FF2B5EF4-FFF2-40B4-BE49-F238E27FC236}">
              <a16:creationId xmlns:a16="http://schemas.microsoft.com/office/drawing/2014/main" id="{CB78C6FF-0FDA-71E1-CD05-07AC25E64A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83820</xdr:colOff>
      <xdr:row>0</xdr:row>
      <xdr:rowOff>45720</xdr:rowOff>
    </xdr:from>
    <xdr:to>
      <xdr:col>25</xdr:col>
      <xdr:colOff>586154</xdr:colOff>
      <xdr:row>3</xdr:row>
      <xdr:rowOff>76200</xdr:rowOff>
    </xdr:to>
    <xdr:sp macro="" textlink="">
      <xdr:nvSpPr>
        <xdr:cNvPr id="2" name="TextBox 1">
          <a:extLst>
            <a:ext uri="{FF2B5EF4-FFF2-40B4-BE49-F238E27FC236}">
              <a16:creationId xmlns:a16="http://schemas.microsoft.com/office/drawing/2014/main" id="{61D7CE5C-555E-5C66-5883-1B4D3D592E63}"/>
            </a:ext>
          </a:extLst>
        </xdr:cNvPr>
        <xdr:cNvSpPr txBox="1"/>
      </xdr:nvSpPr>
      <xdr:spPr>
        <a:xfrm>
          <a:off x="83820" y="45720"/>
          <a:ext cx="15644642" cy="5873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200">
              <a:latin typeface="Segoe UI" panose="020B0502040204020203" pitchFamily="34" charset="0"/>
              <a:ea typeface="Segoe UI Black" panose="020B0A02040204020203" pitchFamily="34" charset="0"/>
              <a:cs typeface="Segoe UI" panose="020B0502040204020203" pitchFamily="34" charset="0"/>
            </a:rPr>
            <a:t>                                                                     </a:t>
          </a:r>
          <a:r>
            <a:rPr lang="en-IN" sz="22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Segoe UI" panose="020B0502040204020203" pitchFamily="34" charset="0"/>
              <a:ea typeface="Segoe UI Black" panose="020B0A02040204020203" pitchFamily="34" charset="0"/>
              <a:cs typeface="Segoe UI" panose="020B0502040204020203" pitchFamily="34" charset="0"/>
            </a:rPr>
            <a:t>Laptop_Battery_Health_Usage Dasboard</a:t>
          </a:r>
          <a:endParaRPr lang="en-IN" sz="2200">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editAs="oneCell">
    <xdr:from>
      <xdr:col>0</xdr:col>
      <xdr:colOff>144780</xdr:colOff>
      <xdr:row>0</xdr:row>
      <xdr:rowOff>76200</xdr:rowOff>
    </xdr:from>
    <xdr:to>
      <xdr:col>3</xdr:col>
      <xdr:colOff>533400</xdr:colOff>
      <xdr:row>3</xdr:row>
      <xdr:rowOff>30480</xdr:rowOff>
    </xdr:to>
    <xdr:pic>
      <xdr:nvPicPr>
        <xdr:cNvPr id="4" name="Picture 3">
          <a:extLst>
            <a:ext uri="{FF2B5EF4-FFF2-40B4-BE49-F238E27FC236}">
              <a16:creationId xmlns:a16="http://schemas.microsoft.com/office/drawing/2014/main" id="{608F1CBE-D715-BAF8-DBA0-B16C88BF0E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44780" y="76200"/>
          <a:ext cx="2217420" cy="502920"/>
        </a:xfrm>
        <a:prstGeom prst="rect">
          <a:avLst/>
        </a:prstGeom>
      </xdr:spPr>
    </xdr:pic>
    <xdr:clientData/>
  </xdr:twoCellAnchor>
  <xdr:twoCellAnchor editAs="oneCell">
    <xdr:from>
      <xdr:col>0</xdr:col>
      <xdr:colOff>0</xdr:colOff>
      <xdr:row>9</xdr:row>
      <xdr:rowOff>52560</xdr:rowOff>
    </xdr:from>
    <xdr:to>
      <xdr:col>2</xdr:col>
      <xdr:colOff>381000</xdr:colOff>
      <xdr:row>21</xdr:row>
      <xdr:rowOff>166077</xdr:rowOff>
    </xdr:to>
    <mc:AlternateContent xmlns:mc="http://schemas.openxmlformats.org/markup-compatibility/2006" xmlns:a14="http://schemas.microsoft.com/office/drawing/2010/main">
      <mc:Choice Requires="a14">
        <xdr:graphicFrame macro="">
          <xdr:nvGraphicFramePr>
            <xdr:cNvPr id="5" name="brand 1">
              <a:extLst>
                <a:ext uri="{FF2B5EF4-FFF2-40B4-BE49-F238E27FC236}">
                  <a16:creationId xmlns:a16="http://schemas.microsoft.com/office/drawing/2014/main" id="{A190D49C-167F-4D39-AECD-463347529E70}"/>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0" y="1723098"/>
              <a:ext cx="1592385" cy="2340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457200</xdr:colOff>
      <xdr:row>9</xdr:row>
      <xdr:rowOff>38100</xdr:rowOff>
    </xdr:from>
    <xdr:to>
      <xdr:col>10</xdr:col>
      <xdr:colOff>251460</xdr:colOff>
      <xdr:row>22</xdr:row>
      <xdr:rowOff>68580</xdr:rowOff>
    </xdr:to>
    <xdr:graphicFrame macro="">
      <xdr:nvGraphicFramePr>
        <xdr:cNvPr id="6" name="Chart 5">
          <a:extLst>
            <a:ext uri="{FF2B5EF4-FFF2-40B4-BE49-F238E27FC236}">
              <a16:creationId xmlns:a16="http://schemas.microsoft.com/office/drawing/2014/main" id="{BE47DD89-56AB-4F3C-AFF9-5605CDF47D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310466</xdr:colOff>
      <xdr:row>9</xdr:row>
      <xdr:rowOff>30480</xdr:rowOff>
    </xdr:from>
    <xdr:to>
      <xdr:col>18</xdr:col>
      <xdr:colOff>68384</xdr:colOff>
      <xdr:row>22</xdr:row>
      <xdr:rowOff>60960</xdr:rowOff>
    </xdr:to>
    <xdr:graphicFrame macro="">
      <xdr:nvGraphicFramePr>
        <xdr:cNvPr id="7" name="Chart 6">
          <a:extLst>
            <a:ext uri="{FF2B5EF4-FFF2-40B4-BE49-F238E27FC236}">
              <a16:creationId xmlns:a16="http://schemas.microsoft.com/office/drawing/2014/main" id="{439939DF-C7E2-41CA-9CAA-828E66A8D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16412</xdr:colOff>
      <xdr:row>22</xdr:row>
      <xdr:rowOff>124070</xdr:rowOff>
    </xdr:from>
    <xdr:to>
      <xdr:col>2</xdr:col>
      <xdr:colOff>405032</xdr:colOff>
      <xdr:row>35</xdr:row>
      <xdr:rowOff>117230</xdr:rowOff>
    </xdr:to>
    <mc:AlternateContent xmlns:mc="http://schemas.openxmlformats.org/markup-compatibility/2006" xmlns:a14="http://schemas.microsoft.com/office/drawing/2010/main">
      <mc:Choice Requires="a14">
        <xdr:graphicFrame macro="">
          <xdr:nvGraphicFramePr>
            <xdr:cNvPr id="8" name="usage_type">
              <a:extLst>
                <a:ext uri="{FF2B5EF4-FFF2-40B4-BE49-F238E27FC236}">
                  <a16:creationId xmlns:a16="http://schemas.microsoft.com/office/drawing/2014/main" id="{35EBCFEA-F1D5-28B9-8CEE-4DFAD5125CEE}"/>
                </a:ext>
              </a:extLst>
            </xdr:cNvPr>
            <xdr:cNvGraphicFramePr/>
          </xdr:nvGraphicFramePr>
          <xdr:xfrm>
            <a:off x="0" y="0"/>
            <a:ext cx="0" cy="0"/>
          </xdr:xfrm>
          <a:graphic>
            <a:graphicData uri="http://schemas.microsoft.com/office/drawing/2010/slicer">
              <sle:slicer xmlns:sle="http://schemas.microsoft.com/office/drawing/2010/slicer" name="usage_type"/>
            </a:graphicData>
          </a:graphic>
        </xdr:graphicFrame>
      </mc:Choice>
      <mc:Fallback xmlns="">
        <xdr:sp macro="" textlink="">
          <xdr:nvSpPr>
            <xdr:cNvPr id="0" name=""/>
            <xdr:cNvSpPr>
              <a:spLocks noTextEdit="1"/>
            </xdr:cNvSpPr>
          </xdr:nvSpPr>
          <xdr:spPr>
            <a:xfrm>
              <a:off x="16412" y="4207608"/>
              <a:ext cx="1600005" cy="2406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518160</xdr:colOff>
      <xdr:row>4</xdr:row>
      <xdr:rowOff>121920</xdr:rowOff>
    </xdr:from>
    <xdr:to>
      <xdr:col>7</xdr:col>
      <xdr:colOff>58616</xdr:colOff>
      <xdr:row>8</xdr:row>
      <xdr:rowOff>144780</xdr:rowOff>
    </xdr:to>
    <xdr:sp macro="" textlink="">
      <xdr:nvSpPr>
        <xdr:cNvPr id="3" name="Rectangle 2">
          <a:extLst>
            <a:ext uri="{FF2B5EF4-FFF2-40B4-BE49-F238E27FC236}">
              <a16:creationId xmlns:a16="http://schemas.microsoft.com/office/drawing/2014/main" id="{6F325609-D105-3125-5D5E-B9917DEC8B9B}"/>
            </a:ext>
          </a:extLst>
        </xdr:cNvPr>
        <xdr:cNvSpPr/>
      </xdr:nvSpPr>
      <xdr:spPr>
        <a:xfrm>
          <a:off x="1729545" y="864382"/>
          <a:ext cx="2568917" cy="765321"/>
        </a:xfrm>
        <a:prstGeom prst="rect">
          <a:avLst/>
        </a:prstGeom>
        <a:solidFill>
          <a:schemeClr val="bg2">
            <a:lumMod val="9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a:latin typeface="Segoe UI" panose="020B0502040204020203" pitchFamily="34" charset="0"/>
              <a:cs typeface="Segoe UI" panose="020B0502040204020203" pitchFamily="34" charset="0"/>
            </a:rPr>
            <a:t>           8016%</a:t>
          </a:r>
        </a:p>
        <a:p>
          <a:pPr algn="l"/>
          <a:r>
            <a:rPr lang="en-US" sz="1200">
              <a:latin typeface="Segoe UI" panose="020B0502040204020203" pitchFamily="34" charset="0"/>
              <a:cs typeface="Segoe UI" panose="020B0502040204020203" pitchFamily="34" charset="0"/>
            </a:rPr>
            <a:t>Average Battery HealthPercent</a:t>
          </a:r>
        </a:p>
      </xdr:txBody>
    </xdr:sp>
    <xdr:clientData/>
  </xdr:twoCellAnchor>
  <xdr:twoCellAnchor>
    <xdr:from>
      <xdr:col>7</xdr:col>
      <xdr:colOff>341924</xdr:colOff>
      <xdr:row>4</xdr:row>
      <xdr:rowOff>104531</xdr:rowOff>
    </xdr:from>
    <xdr:to>
      <xdr:col>11</xdr:col>
      <xdr:colOff>566617</xdr:colOff>
      <xdr:row>8</xdr:row>
      <xdr:rowOff>135011</xdr:rowOff>
    </xdr:to>
    <xdr:sp macro="" textlink="'KPI Calculation'!B10">
      <xdr:nvSpPr>
        <xdr:cNvPr id="9" name="Rectangle 8">
          <a:extLst>
            <a:ext uri="{FF2B5EF4-FFF2-40B4-BE49-F238E27FC236}">
              <a16:creationId xmlns:a16="http://schemas.microsoft.com/office/drawing/2014/main" id="{2C20D1C0-B96E-936F-6A09-F319ED4627C1}"/>
            </a:ext>
          </a:extLst>
        </xdr:cNvPr>
        <xdr:cNvSpPr/>
      </xdr:nvSpPr>
      <xdr:spPr>
        <a:xfrm>
          <a:off x="4581770" y="846993"/>
          <a:ext cx="2647462" cy="772941"/>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Calibri"/>
              <a:ea typeface="Calibri"/>
              <a:cs typeface="Calibri"/>
            </a:rPr>
            <a:t>                 </a:t>
          </a:r>
          <a:fld id="{E7B2C3D7-00EF-41EA-8042-383E73A1A212}" type="TxLink">
            <a:rPr lang="en-US" sz="1600" b="0" i="0" u="none" strike="noStrike">
              <a:solidFill>
                <a:srgbClr val="000000"/>
              </a:solidFill>
              <a:latin typeface="Calibri"/>
              <a:ea typeface="Calibri"/>
              <a:cs typeface="Calibri"/>
            </a:rPr>
            <a:pPr algn="l"/>
            <a:t>400%</a:t>
          </a:fld>
          <a:endParaRPr lang="en-US" sz="1600" b="0" i="0" u="none" strike="noStrike">
            <a:solidFill>
              <a:srgbClr val="000000"/>
            </a:solidFill>
            <a:latin typeface="Calibri"/>
            <a:ea typeface="Calibri"/>
            <a:cs typeface="Calibri"/>
          </a:endParaRPr>
        </a:p>
        <a:p>
          <a:pPr algn="l"/>
          <a:r>
            <a:rPr lang="en-US" sz="1600" b="0" i="0" u="none" strike="noStrike">
              <a:solidFill>
                <a:srgbClr val="000000"/>
              </a:solidFill>
              <a:latin typeface="Calibri"/>
              <a:ea typeface="Calibri"/>
              <a:cs typeface="Calibri"/>
            </a:rPr>
            <a:t>   Battery Degradation Rate</a:t>
          </a:r>
          <a:endParaRPr lang="en-IN" sz="1600"/>
        </a:p>
      </xdr:txBody>
    </xdr:sp>
    <xdr:clientData/>
  </xdr:twoCellAnchor>
  <xdr:twoCellAnchor>
    <xdr:from>
      <xdr:col>12</xdr:col>
      <xdr:colOff>214924</xdr:colOff>
      <xdr:row>4</xdr:row>
      <xdr:rowOff>69752</xdr:rowOff>
    </xdr:from>
    <xdr:to>
      <xdr:col>16</xdr:col>
      <xdr:colOff>185615</xdr:colOff>
      <xdr:row>8</xdr:row>
      <xdr:rowOff>100232</xdr:rowOff>
    </xdr:to>
    <xdr:sp macro="" textlink="'KPI Calculation'!B9">
      <xdr:nvSpPr>
        <xdr:cNvPr id="10" name="Rectangle 9">
          <a:extLst>
            <a:ext uri="{FF2B5EF4-FFF2-40B4-BE49-F238E27FC236}">
              <a16:creationId xmlns:a16="http://schemas.microsoft.com/office/drawing/2014/main" id="{B63EB256-A3CC-DB88-4D58-3083ED20D0AD}"/>
            </a:ext>
          </a:extLst>
        </xdr:cNvPr>
        <xdr:cNvSpPr/>
      </xdr:nvSpPr>
      <xdr:spPr>
        <a:xfrm>
          <a:off x="7483232" y="812214"/>
          <a:ext cx="2393460" cy="772941"/>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rgbClr val="000000"/>
              </a:solidFill>
              <a:latin typeface="Segoe UI" panose="020B0502040204020203" pitchFamily="34" charset="0"/>
              <a:ea typeface="Calibri"/>
              <a:cs typeface="Segoe UI" panose="020B0502040204020203" pitchFamily="34" charset="0"/>
            </a:rPr>
            <a:t>           </a:t>
          </a:r>
          <a:fld id="{0FA6CE27-E1C9-4880-A363-7A3DD3C28B04}" type="TxLink">
            <a:rPr lang="en-US" sz="1600" b="0" i="0" u="none" strike="noStrike">
              <a:solidFill>
                <a:srgbClr val="000000"/>
              </a:solidFill>
              <a:latin typeface="Segoe UI" panose="020B0502040204020203" pitchFamily="34" charset="0"/>
              <a:ea typeface="Calibri"/>
              <a:cs typeface="Segoe UI" panose="020B0502040204020203" pitchFamily="34" charset="0"/>
            </a:rPr>
            <a:pPr algn="l"/>
            <a:t>26320</a:t>
          </a:fld>
          <a:endParaRPr lang="en-US" sz="1600" b="0" i="0" u="none" strike="noStrike">
            <a:solidFill>
              <a:srgbClr val="000000"/>
            </a:solidFill>
            <a:latin typeface="Segoe UI" panose="020B0502040204020203" pitchFamily="34" charset="0"/>
            <a:ea typeface="Calibri"/>
            <a:cs typeface="Segoe UI" panose="020B0502040204020203" pitchFamily="34" charset="0"/>
          </a:endParaRPr>
        </a:p>
        <a:p>
          <a:pPr algn="l"/>
          <a:r>
            <a:rPr lang="en-IN" sz="1600">
              <a:solidFill>
                <a:sysClr val="windowText" lastClr="000000"/>
              </a:solidFill>
              <a:latin typeface="Segoe UI" panose="020B0502040204020203" pitchFamily="34" charset="0"/>
              <a:cs typeface="Segoe UI" panose="020B0502040204020203" pitchFamily="34" charset="0"/>
            </a:rPr>
            <a:t>Total Charging Cycles</a:t>
          </a:r>
        </a:p>
      </xdr:txBody>
    </xdr:sp>
    <xdr:clientData/>
  </xdr:twoCellAnchor>
  <xdr:twoCellAnchor>
    <xdr:from>
      <xdr:col>16</xdr:col>
      <xdr:colOff>361461</xdr:colOff>
      <xdr:row>4</xdr:row>
      <xdr:rowOff>69752</xdr:rowOff>
    </xdr:from>
    <xdr:to>
      <xdr:col>21</xdr:col>
      <xdr:colOff>87924</xdr:colOff>
      <xdr:row>8</xdr:row>
      <xdr:rowOff>107462</xdr:rowOff>
    </xdr:to>
    <xdr:sp macro="" textlink="'KPI Calculation'!B6">
      <xdr:nvSpPr>
        <xdr:cNvPr id="11" name="Rectangle 10">
          <a:extLst>
            <a:ext uri="{FF2B5EF4-FFF2-40B4-BE49-F238E27FC236}">
              <a16:creationId xmlns:a16="http://schemas.microsoft.com/office/drawing/2014/main" id="{7F39BFE5-5E78-9731-54F3-0285A8D2276A}"/>
            </a:ext>
          </a:extLst>
        </xdr:cNvPr>
        <xdr:cNvSpPr/>
      </xdr:nvSpPr>
      <xdr:spPr>
        <a:xfrm>
          <a:off x="10052538" y="812214"/>
          <a:ext cx="2754924" cy="780171"/>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0" i="0" u="none" strike="noStrike">
              <a:solidFill>
                <a:schemeClr val="tx1"/>
              </a:solidFill>
              <a:latin typeface="Calibri"/>
              <a:ea typeface="Calibri"/>
              <a:cs typeface="Calibri"/>
            </a:rPr>
            <a:t>               </a:t>
          </a:r>
          <a:fld id="{CB8F518A-C588-4C3C-B9D3-E16061F6AA86}" type="TxLink">
            <a:rPr lang="en-US" sz="2000" b="0" i="0" u="none" strike="noStrike">
              <a:solidFill>
                <a:schemeClr val="tx1"/>
              </a:solidFill>
              <a:latin typeface="Calibri"/>
              <a:ea typeface="Calibri"/>
              <a:cs typeface="Calibri"/>
            </a:rPr>
            <a:pPr algn="l"/>
            <a:t>6.6</a:t>
          </a:fld>
          <a:endParaRPr lang="en-US" sz="2000" b="0" i="0" u="none" strike="noStrike">
            <a:solidFill>
              <a:schemeClr val="tx1"/>
            </a:solidFill>
            <a:latin typeface="Calibri"/>
            <a:ea typeface="Calibri"/>
            <a:cs typeface="Calibri"/>
          </a:endParaRPr>
        </a:p>
        <a:p>
          <a:pPr algn="l"/>
          <a:r>
            <a:rPr lang="en-IN" sz="1600">
              <a:solidFill>
                <a:schemeClr val="tx1"/>
              </a:solidFill>
            </a:rPr>
            <a:t>Average</a:t>
          </a:r>
          <a:r>
            <a:rPr lang="en-IN" sz="1600" baseline="0">
              <a:solidFill>
                <a:schemeClr val="tx1"/>
              </a:solidFill>
            </a:rPr>
            <a:t> Daily Uses Hours</a:t>
          </a:r>
          <a:endParaRPr lang="en-IN" sz="1600">
            <a:solidFill>
              <a:schemeClr val="tx1"/>
            </a:solidFill>
          </a:endParaRPr>
        </a:p>
      </xdr:txBody>
    </xdr:sp>
    <xdr:clientData/>
  </xdr:twoCellAnchor>
  <xdr:twoCellAnchor>
    <xdr:from>
      <xdr:col>2</xdr:col>
      <xdr:colOff>441960</xdr:colOff>
      <xdr:row>22</xdr:row>
      <xdr:rowOff>114300</xdr:rowOff>
    </xdr:from>
    <xdr:to>
      <xdr:col>10</xdr:col>
      <xdr:colOff>243840</xdr:colOff>
      <xdr:row>35</xdr:row>
      <xdr:rowOff>87924</xdr:rowOff>
    </xdr:to>
    <xdr:graphicFrame macro="">
      <xdr:nvGraphicFramePr>
        <xdr:cNvPr id="12" name="Chart 11">
          <a:extLst>
            <a:ext uri="{FF2B5EF4-FFF2-40B4-BE49-F238E27FC236}">
              <a16:creationId xmlns:a16="http://schemas.microsoft.com/office/drawing/2014/main" id="{2E0E2F03-AA78-4EED-B41F-66DE198F8F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341924</xdr:colOff>
      <xdr:row>22</xdr:row>
      <xdr:rowOff>127000</xdr:rowOff>
    </xdr:from>
    <xdr:to>
      <xdr:col>18</xdr:col>
      <xdr:colOff>76201</xdr:colOff>
      <xdr:row>35</xdr:row>
      <xdr:rowOff>48847</xdr:rowOff>
    </xdr:to>
    <xdr:graphicFrame macro="">
      <xdr:nvGraphicFramePr>
        <xdr:cNvPr id="13" name="Chart 12">
          <a:extLst>
            <a:ext uri="{FF2B5EF4-FFF2-40B4-BE49-F238E27FC236}">
              <a16:creationId xmlns:a16="http://schemas.microsoft.com/office/drawing/2014/main" id="{B8589F48-B47B-48BE-A13F-0DF3879D3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195384</xdr:colOff>
      <xdr:row>22</xdr:row>
      <xdr:rowOff>156308</xdr:rowOff>
    </xdr:from>
    <xdr:to>
      <xdr:col>26</xdr:col>
      <xdr:colOff>216682</xdr:colOff>
      <xdr:row>35</xdr:row>
      <xdr:rowOff>19539</xdr:rowOff>
    </xdr:to>
    <xdr:graphicFrame macro="">
      <xdr:nvGraphicFramePr>
        <xdr:cNvPr id="14" name="Chart 13">
          <a:extLst>
            <a:ext uri="{FF2B5EF4-FFF2-40B4-BE49-F238E27FC236}">
              <a16:creationId xmlns:a16="http://schemas.microsoft.com/office/drawing/2014/main" id="{4FF42503-CF66-4866-8AC7-A918F9703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247356</xdr:colOff>
      <xdr:row>9</xdr:row>
      <xdr:rowOff>58615</xdr:rowOff>
    </xdr:from>
    <xdr:to>
      <xdr:col>21</xdr:col>
      <xdr:colOff>146539</xdr:colOff>
      <xdr:row>22</xdr:row>
      <xdr:rowOff>19538</xdr:rowOff>
    </xdr:to>
    <mc:AlternateContent xmlns:mc="http://schemas.openxmlformats.org/markup-compatibility/2006" xmlns:a14="http://schemas.microsoft.com/office/drawing/2010/main">
      <mc:Choice Requires="a14">
        <xdr:graphicFrame macro="">
          <xdr:nvGraphicFramePr>
            <xdr:cNvPr id="15" name="usage_type 1">
              <a:extLst>
                <a:ext uri="{FF2B5EF4-FFF2-40B4-BE49-F238E27FC236}">
                  <a16:creationId xmlns:a16="http://schemas.microsoft.com/office/drawing/2014/main" id="{AD70F298-4841-DA0B-2E39-729FD717E9D4}"/>
                </a:ext>
              </a:extLst>
            </xdr:cNvPr>
            <xdr:cNvGraphicFramePr/>
          </xdr:nvGraphicFramePr>
          <xdr:xfrm>
            <a:off x="0" y="0"/>
            <a:ext cx="0" cy="0"/>
          </xdr:xfrm>
          <a:graphic>
            <a:graphicData uri="http://schemas.microsoft.com/office/drawing/2010/slicer">
              <sle:slicer xmlns:sle="http://schemas.microsoft.com/office/drawing/2010/slicer" name="usage_type 1"/>
            </a:graphicData>
          </a:graphic>
        </xdr:graphicFrame>
      </mc:Choice>
      <mc:Fallback xmlns="">
        <xdr:sp macro="" textlink="">
          <xdr:nvSpPr>
            <xdr:cNvPr id="0" name=""/>
            <xdr:cNvSpPr>
              <a:spLocks noTextEdit="1"/>
            </xdr:cNvSpPr>
          </xdr:nvSpPr>
          <xdr:spPr>
            <a:xfrm>
              <a:off x="11149818" y="1729153"/>
              <a:ext cx="1716259" cy="23739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TUJA KOLTE" refreshedDate="46021.734528587964" createdVersion="8" refreshedVersion="8" minRefreshableVersion="3" recordCount="50" xr:uid="{FF744A0F-22AD-4765-9EF9-DC6A8A29F5A9}">
  <cacheSource type="worksheet">
    <worksheetSource name="Table1"/>
  </cacheSource>
  <cacheFields count="12">
    <cacheField name="device_id" numFmtId="0">
      <sharedItems/>
    </cacheField>
    <cacheField name="brand" numFmtId="0">
      <sharedItems count="6">
        <s v="HP"/>
        <s v="Dell"/>
        <s v="Apple"/>
        <s v="Lenovo"/>
        <s v="Asus"/>
        <s v="Acer"/>
      </sharedItems>
    </cacheField>
    <cacheField name="model_year" numFmtId="0">
      <sharedItems containsSemiMixedTypes="0" containsString="0" containsNumber="1" containsInteger="1" minValue="2018" maxValue="2023"/>
    </cacheField>
    <cacheField name="os" numFmtId="0">
      <sharedItems count="2">
        <s v="Windows"/>
        <s v="macOS"/>
      </sharedItems>
    </cacheField>
    <cacheField name="usage_type" numFmtId="0">
      <sharedItems count="5">
        <s v="Office"/>
        <s v="Programming"/>
        <s v="Creative"/>
        <s v="Student"/>
        <s v="Gaming"/>
      </sharedItems>
    </cacheField>
    <cacheField name="daily_usage_hours" numFmtId="0">
      <sharedItems containsSemiMixedTypes="0" containsString="0" containsNumber="1" containsInteger="1" minValue="4" maxValue="10"/>
    </cacheField>
    <cacheField name="charging_cycles" numFmtId="0">
      <sharedItems containsSemiMixedTypes="0" containsString="0" containsNumber="1" containsInteger="1" minValue="180" maxValue="950"/>
    </cacheField>
    <cacheField name="avg_charge_limit_percent" numFmtId="0">
      <sharedItems containsSemiMixedTypes="0" containsString="0" containsNumber="1" containsInteger="1" minValue="80" maxValue="100"/>
    </cacheField>
    <cacheField name="battery_health_percent" numFmtId="0">
      <sharedItems containsSemiMixedTypes="0" containsString="0" containsNumber="1" containsInteger="1" minValue="55" maxValue="98"/>
    </cacheField>
    <cacheField name="battery_age_months" numFmtId="0">
      <sharedItems containsSemiMixedTypes="0" containsString="0" containsNumber="1" containsInteger="1" minValue="12" maxValue="72"/>
    </cacheField>
    <cacheField name="overheating_issues" numFmtId="0">
      <sharedItems count="2">
        <s v="No"/>
        <s v="Yes"/>
      </sharedItems>
    </cacheField>
    <cacheField name="performance_rating" numFmtId="0">
      <sharedItems containsSemiMixedTypes="0" containsString="0" containsNumber="1" containsInteger="1" minValue="1" maxValue="5"/>
    </cacheField>
  </cacheFields>
  <extLst>
    <ext xmlns:x14="http://schemas.microsoft.com/office/spreadsheetml/2009/9/main" uri="{725AE2AE-9491-48be-B2B4-4EB974FC3084}">
      <x14:pivotCacheDefinition pivotCacheId="20764725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LB001"/>
    <x v="0"/>
    <n v="2021"/>
    <x v="0"/>
    <x v="0"/>
    <n v="6"/>
    <n v="420"/>
    <n v="90"/>
    <n v="86"/>
    <n v="36"/>
    <x v="0"/>
    <n v="4"/>
  </r>
  <r>
    <s v="LB002"/>
    <x v="1"/>
    <n v="2020"/>
    <x v="0"/>
    <x v="1"/>
    <n v="8"/>
    <n v="610"/>
    <n v="100"/>
    <n v="78"/>
    <n v="48"/>
    <x v="1"/>
    <n v="3"/>
  </r>
  <r>
    <s v="LB003"/>
    <x v="2"/>
    <n v="2022"/>
    <x v="1"/>
    <x v="2"/>
    <n v="7"/>
    <n v="310"/>
    <n v="85"/>
    <n v="92"/>
    <n v="24"/>
    <x v="0"/>
    <n v="5"/>
  </r>
  <r>
    <s v="LB004"/>
    <x v="3"/>
    <n v="2019"/>
    <x v="0"/>
    <x v="3"/>
    <n v="5"/>
    <n v="700"/>
    <n v="100"/>
    <n v="70"/>
    <n v="60"/>
    <x v="1"/>
    <n v="3"/>
  </r>
  <r>
    <s v="LB005"/>
    <x v="4"/>
    <n v="2021"/>
    <x v="0"/>
    <x v="4"/>
    <n v="9"/>
    <n v="820"/>
    <n v="100"/>
    <n v="65"/>
    <n v="40"/>
    <x v="1"/>
    <n v="2"/>
  </r>
  <r>
    <s v="LB006"/>
    <x v="5"/>
    <n v="2020"/>
    <x v="0"/>
    <x v="0"/>
    <n v="6"/>
    <n v="540"/>
    <n v="95"/>
    <n v="80"/>
    <n v="50"/>
    <x v="0"/>
    <n v="4"/>
  </r>
  <r>
    <s v="LB007"/>
    <x v="2"/>
    <n v="2023"/>
    <x v="1"/>
    <x v="1"/>
    <n v="8"/>
    <n v="210"/>
    <n v="80"/>
    <n v="95"/>
    <n v="18"/>
    <x v="0"/>
    <n v="5"/>
  </r>
  <r>
    <s v="LB008"/>
    <x v="0"/>
    <n v="2018"/>
    <x v="0"/>
    <x v="3"/>
    <n v="4"/>
    <n v="880"/>
    <n v="100"/>
    <n v="60"/>
    <n v="72"/>
    <x v="1"/>
    <n v="2"/>
  </r>
  <r>
    <s v="LB009"/>
    <x v="1"/>
    <n v="2022"/>
    <x v="0"/>
    <x v="0"/>
    <n v="6"/>
    <n v="350"/>
    <n v="90"/>
    <n v="88"/>
    <n v="30"/>
    <x v="0"/>
    <n v="4"/>
  </r>
  <r>
    <s v="LB010"/>
    <x v="3"/>
    <n v="2021"/>
    <x v="0"/>
    <x v="1"/>
    <n v="7"/>
    <n v="480"/>
    <n v="85"/>
    <n v="83"/>
    <n v="36"/>
    <x v="0"/>
    <n v="4"/>
  </r>
  <r>
    <s v="LB011"/>
    <x v="4"/>
    <n v="2020"/>
    <x v="0"/>
    <x v="4"/>
    <n v="10"/>
    <n v="900"/>
    <n v="100"/>
    <n v="58"/>
    <n v="54"/>
    <x v="1"/>
    <n v="2"/>
  </r>
  <r>
    <s v="LB012"/>
    <x v="5"/>
    <n v="2019"/>
    <x v="0"/>
    <x v="0"/>
    <n v="5"/>
    <n v="620"/>
    <n v="95"/>
    <n v="75"/>
    <n v="60"/>
    <x v="0"/>
    <n v="3"/>
  </r>
  <r>
    <s v="LB013"/>
    <x v="2"/>
    <n v="2021"/>
    <x v="1"/>
    <x v="2"/>
    <n v="6"/>
    <n v="400"/>
    <n v="80"/>
    <n v="90"/>
    <n v="42"/>
    <x v="0"/>
    <n v="5"/>
  </r>
  <r>
    <s v="LB014"/>
    <x v="0"/>
    <n v="2022"/>
    <x v="0"/>
    <x v="3"/>
    <n v="5"/>
    <n v="300"/>
    <n v="90"/>
    <n v="91"/>
    <n v="24"/>
    <x v="0"/>
    <n v="5"/>
  </r>
  <r>
    <s v="LB015"/>
    <x v="1"/>
    <n v="2018"/>
    <x v="0"/>
    <x v="0"/>
    <n v="6"/>
    <n v="850"/>
    <n v="100"/>
    <n v="62"/>
    <n v="72"/>
    <x v="1"/>
    <n v="2"/>
  </r>
  <r>
    <s v="LB016"/>
    <x v="3"/>
    <n v="2023"/>
    <x v="0"/>
    <x v="1"/>
    <n v="8"/>
    <n v="220"/>
    <n v="85"/>
    <n v="94"/>
    <n v="18"/>
    <x v="0"/>
    <n v="5"/>
  </r>
  <r>
    <s v="LB017"/>
    <x v="4"/>
    <n v="2021"/>
    <x v="0"/>
    <x v="0"/>
    <n v="6"/>
    <n v="450"/>
    <n v="90"/>
    <n v="85"/>
    <n v="36"/>
    <x v="0"/>
    <n v="4"/>
  </r>
  <r>
    <s v="LB018"/>
    <x v="5"/>
    <n v="2020"/>
    <x v="0"/>
    <x v="3"/>
    <n v="4"/>
    <n v="560"/>
    <n v="95"/>
    <n v="79"/>
    <n v="48"/>
    <x v="0"/>
    <n v="3"/>
  </r>
  <r>
    <s v="LB019"/>
    <x v="2"/>
    <n v="2019"/>
    <x v="1"/>
    <x v="2"/>
    <n v="7"/>
    <n v="680"/>
    <n v="85"/>
    <n v="82"/>
    <n v="60"/>
    <x v="0"/>
    <n v="4"/>
  </r>
  <r>
    <s v="LB020"/>
    <x v="0"/>
    <n v="2022"/>
    <x v="0"/>
    <x v="0"/>
    <n v="6"/>
    <n v="310"/>
    <n v="90"/>
    <n v="89"/>
    <n v="24"/>
    <x v="0"/>
    <n v="4"/>
  </r>
  <r>
    <s v="LB021"/>
    <x v="1"/>
    <n v="2021"/>
    <x v="0"/>
    <x v="1"/>
    <n v="8"/>
    <n v="490"/>
    <n v="100"/>
    <n v="81"/>
    <n v="36"/>
    <x v="0"/>
    <n v="4"/>
  </r>
  <r>
    <s v="LB022"/>
    <x v="3"/>
    <n v="2020"/>
    <x v="0"/>
    <x v="3"/>
    <n v="5"/>
    <n v="600"/>
    <n v="95"/>
    <n v="76"/>
    <n v="48"/>
    <x v="0"/>
    <n v="3"/>
  </r>
  <r>
    <s v="LB023"/>
    <x v="4"/>
    <n v="2022"/>
    <x v="0"/>
    <x v="4"/>
    <n v="9"/>
    <n v="520"/>
    <n v="100"/>
    <n v="74"/>
    <n v="30"/>
    <x v="1"/>
    <n v="3"/>
  </r>
  <r>
    <s v="LB024"/>
    <x v="5"/>
    <n v="2018"/>
    <x v="0"/>
    <x v="0"/>
    <n v="6"/>
    <n v="900"/>
    <n v="100"/>
    <n v="59"/>
    <n v="72"/>
    <x v="1"/>
    <n v="2"/>
  </r>
  <r>
    <s v="LB025"/>
    <x v="2"/>
    <n v="2023"/>
    <x v="1"/>
    <x v="1"/>
    <n v="7"/>
    <n v="180"/>
    <n v="80"/>
    <n v="97"/>
    <n v="12"/>
    <x v="0"/>
    <n v="5"/>
  </r>
  <r>
    <s v="LB026"/>
    <x v="0"/>
    <n v="2020"/>
    <x v="0"/>
    <x v="0"/>
    <n v="6"/>
    <n v="570"/>
    <n v="95"/>
    <n v="77"/>
    <n v="48"/>
    <x v="0"/>
    <n v="3"/>
  </r>
  <r>
    <s v="LB027"/>
    <x v="1"/>
    <n v="2019"/>
    <x v="0"/>
    <x v="3"/>
    <n v="5"/>
    <n v="730"/>
    <n v="100"/>
    <n v="68"/>
    <n v="60"/>
    <x v="1"/>
    <n v="2"/>
  </r>
  <r>
    <s v="LB028"/>
    <x v="3"/>
    <n v="2021"/>
    <x v="0"/>
    <x v="1"/>
    <n v="8"/>
    <n v="460"/>
    <n v="90"/>
    <n v="84"/>
    <n v="36"/>
    <x v="0"/>
    <n v="4"/>
  </r>
  <r>
    <s v="LB029"/>
    <x v="4"/>
    <n v="2018"/>
    <x v="0"/>
    <x v="4"/>
    <n v="10"/>
    <n v="950"/>
    <n v="100"/>
    <n v="55"/>
    <n v="72"/>
    <x v="1"/>
    <n v="1"/>
  </r>
  <r>
    <s v="LB030"/>
    <x v="5"/>
    <n v="2022"/>
    <x v="0"/>
    <x v="0"/>
    <n v="6"/>
    <n v="320"/>
    <n v="90"/>
    <n v="90"/>
    <n v="24"/>
    <x v="0"/>
    <n v="4"/>
  </r>
  <r>
    <s v="LB031"/>
    <x v="2"/>
    <n v="2020"/>
    <x v="1"/>
    <x v="2"/>
    <n v="7"/>
    <n v="500"/>
    <n v="85"/>
    <n v="87"/>
    <n v="48"/>
    <x v="0"/>
    <n v="4"/>
  </r>
  <r>
    <s v="LB032"/>
    <x v="0"/>
    <n v="2021"/>
    <x v="0"/>
    <x v="3"/>
    <n v="5"/>
    <n v="430"/>
    <n v="90"/>
    <n v="86"/>
    <n v="36"/>
    <x v="0"/>
    <n v="4"/>
  </r>
  <r>
    <s v="LB033"/>
    <x v="1"/>
    <n v="2023"/>
    <x v="0"/>
    <x v="0"/>
    <n v="6"/>
    <n v="210"/>
    <n v="85"/>
    <n v="96"/>
    <n v="18"/>
    <x v="0"/>
    <n v="5"/>
  </r>
  <r>
    <s v="LB034"/>
    <x v="3"/>
    <n v="2019"/>
    <x v="0"/>
    <x v="1"/>
    <n v="7"/>
    <n v="680"/>
    <n v="100"/>
    <n v="72"/>
    <n v="60"/>
    <x v="1"/>
    <n v="3"/>
  </r>
  <r>
    <s v="LB035"/>
    <x v="4"/>
    <n v="2020"/>
    <x v="0"/>
    <x v="4"/>
    <n v="9"/>
    <n v="780"/>
    <n v="100"/>
    <n v="66"/>
    <n v="48"/>
    <x v="1"/>
    <n v="2"/>
  </r>
  <r>
    <s v="LB036"/>
    <x v="5"/>
    <n v="2021"/>
    <x v="0"/>
    <x v="0"/>
    <n v="6"/>
    <n v="410"/>
    <n v="95"/>
    <n v="85"/>
    <n v="36"/>
    <x v="0"/>
    <n v="4"/>
  </r>
  <r>
    <s v="LB037"/>
    <x v="2"/>
    <n v="2022"/>
    <x v="1"/>
    <x v="1"/>
    <n v="8"/>
    <n v="260"/>
    <n v="80"/>
    <n v="93"/>
    <n v="24"/>
    <x v="0"/>
    <n v="5"/>
  </r>
  <r>
    <s v="LB038"/>
    <x v="0"/>
    <n v="2018"/>
    <x v="0"/>
    <x v="3"/>
    <n v="4"/>
    <n v="870"/>
    <n v="100"/>
    <n v="61"/>
    <n v="72"/>
    <x v="1"/>
    <n v="2"/>
  </r>
  <r>
    <s v="LB039"/>
    <x v="1"/>
    <n v="2021"/>
    <x v="0"/>
    <x v="0"/>
    <n v="6"/>
    <n v="450"/>
    <n v="90"/>
    <n v="84"/>
    <n v="36"/>
    <x v="0"/>
    <n v="4"/>
  </r>
  <r>
    <s v="LB040"/>
    <x v="3"/>
    <n v="2022"/>
    <x v="0"/>
    <x v="1"/>
    <n v="8"/>
    <n v="330"/>
    <n v="85"/>
    <n v="91"/>
    <n v="24"/>
    <x v="0"/>
    <n v="5"/>
  </r>
  <r>
    <s v="LB041"/>
    <x v="4"/>
    <n v="2019"/>
    <x v="0"/>
    <x v="0"/>
    <n v="6"/>
    <n v="640"/>
    <n v="95"/>
    <n v="74"/>
    <n v="60"/>
    <x v="0"/>
    <n v="3"/>
  </r>
  <r>
    <s v="LB042"/>
    <x v="5"/>
    <n v="2023"/>
    <x v="0"/>
    <x v="3"/>
    <n v="5"/>
    <n v="190"/>
    <n v="90"/>
    <n v="97"/>
    <n v="12"/>
    <x v="0"/>
    <n v="5"/>
  </r>
  <r>
    <s v="LB043"/>
    <x v="2"/>
    <n v="2018"/>
    <x v="1"/>
    <x v="2"/>
    <n v="7"/>
    <n v="760"/>
    <n v="85"/>
    <n v="78"/>
    <n v="72"/>
    <x v="0"/>
    <n v="3"/>
  </r>
  <r>
    <s v="LB044"/>
    <x v="0"/>
    <n v="2020"/>
    <x v="0"/>
    <x v="0"/>
    <n v="6"/>
    <n v="560"/>
    <n v="95"/>
    <n v="79"/>
    <n v="48"/>
    <x v="0"/>
    <n v="3"/>
  </r>
  <r>
    <s v="LB045"/>
    <x v="1"/>
    <n v="2022"/>
    <x v="0"/>
    <x v="1"/>
    <n v="8"/>
    <n v="340"/>
    <n v="90"/>
    <n v="90"/>
    <n v="24"/>
    <x v="0"/>
    <n v="5"/>
  </r>
  <r>
    <s v="LB046"/>
    <x v="3"/>
    <n v="2018"/>
    <x v="0"/>
    <x v="3"/>
    <n v="5"/>
    <n v="820"/>
    <n v="100"/>
    <n v="63"/>
    <n v="72"/>
    <x v="1"/>
    <n v="2"/>
  </r>
  <r>
    <s v="LB047"/>
    <x v="4"/>
    <n v="2021"/>
    <x v="0"/>
    <x v="0"/>
    <n v="6"/>
    <n v="470"/>
    <n v="90"/>
    <n v="84"/>
    <n v="36"/>
    <x v="0"/>
    <n v="4"/>
  </r>
  <r>
    <s v="LB048"/>
    <x v="5"/>
    <n v="2020"/>
    <x v="0"/>
    <x v="4"/>
    <n v="9"/>
    <n v="710"/>
    <n v="100"/>
    <n v="69"/>
    <n v="48"/>
    <x v="1"/>
    <n v="2"/>
  </r>
  <r>
    <s v="LB049"/>
    <x v="2"/>
    <n v="2021"/>
    <x v="1"/>
    <x v="1"/>
    <n v="7"/>
    <n v="380"/>
    <n v="80"/>
    <n v="92"/>
    <n v="36"/>
    <x v="0"/>
    <n v="5"/>
  </r>
  <r>
    <s v="LB050"/>
    <x v="0"/>
    <n v="2023"/>
    <x v="0"/>
    <x v="0"/>
    <n v="6"/>
    <n v="200"/>
    <n v="85"/>
    <n v="98"/>
    <n v="12"/>
    <x v="0"/>
    <n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EC9ACB-046E-4327-B100-B1EF48D3AF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2">
    <pivotField showAll="0"/>
    <pivotField axis="axisRow" showAll="0">
      <items count="7">
        <item x="5"/>
        <item x="2"/>
        <item x="4"/>
        <item x="1"/>
        <item x="0"/>
        <item x="3"/>
        <item t="default"/>
      </items>
    </pivotField>
    <pivotField showAll="0"/>
    <pivotField showAll="0"/>
    <pivotField dataField="1" showAll="0">
      <items count="6">
        <item h="1" x="2"/>
        <item h="1" x="4"/>
        <item h="1" x="0"/>
        <item x="1"/>
        <item h="1" x="3"/>
        <item t="default"/>
      </items>
    </pivotField>
    <pivotField showAll="0"/>
    <pivotField showAll="0"/>
    <pivotField showAll="0"/>
    <pivotField showAll="0"/>
    <pivotField showAll="0"/>
    <pivotField showAll="0"/>
    <pivotField showAll="0"/>
  </pivotFields>
  <rowFields count="1">
    <field x="1"/>
  </rowFields>
  <rowItems count="4">
    <i>
      <x v="1"/>
    </i>
    <i>
      <x v="3"/>
    </i>
    <i>
      <x v="5"/>
    </i>
    <i t="grand">
      <x/>
    </i>
  </rowItems>
  <colItems count="1">
    <i/>
  </colItems>
  <dataFields count="1">
    <dataField name="Count of usage_type" fld="4" subtotal="count"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2"/>
          </reference>
        </references>
      </pivotArea>
    </chartFormat>
    <chartFormat chart="3" format="11">
      <pivotArea type="data" outline="0" fieldPosition="0">
        <references count="2">
          <reference field="4294967294" count="1" selected="0">
            <x v="0"/>
          </reference>
          <reference field="1" count="1" selected="0">
            <x v="3"/>
          </reference>
        </references>
      </pivotArea>
    </chartFormat>
    <chartFormat chart="3" format="12">
      <pivotArea type="data" outline="0" fieldPosition="0">
        <references count="2">
          <reference field="4294967294" count="1" selected="0">
            <x v="0"/>
          </reference>
          <reference field="1" count="1" selected="0">
            <x v="4"/>
          </reference>
        </references>
      </pivotArea>
    </chartFormat>
    <chartFormat chart="3" format="13">
      <pivotArea type="data" outline="0" fieldPosition="0">
        <references count="2">
          <reference field="4294967294" count="1" selected="0">
            <x v="0"/>
          </reference>
          <reference field="1" count="1" selected="0">
            <x v="5"/>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1" count="1" selected="0">
            <x v="0"/>
          </reference>
        </references>
      </pivotArea>
    </chartFormat>
    <chartFormat chart="4" format="16">
      <pivotArea type="data" outline="0" fieldPosition="0">
        <references count="2">
          <reference field="4294967294" count="1" selected="0">
            <x v="0"/>
          </reference>
          <reference field="1" count="1" selected="0">
            <x v="1"/>
          </reference>
        </references>
      </pivotArea>
    </chartFormat>
    <chartFormat chart="4" format="17">
      <pivotArea type="data" outline="0" fieldPosition="0">
        <references count="2">
          <reference field="4294967294" count="1" selected="0">
            <x v="0"/>
          </reference>
          <reference field="1" count="1" selected="0">
            <x v="2"/>
          </reference>
        </references>
      </pivotArea>
    </chartFormat>
    <chartFormat chart="4" format="18">
      <pivotArea type="data" outline="0" fieldPosition="0">
        <references count="2">
          <reference field="4294967294" count="1" selected="0">
            <x v="0"/>
          </reference>
          <reference field="1" count="1" selected="0">
            <x v="3"/>
          </reference>
        </references>
      </pivotArea>
    </chartFormat>
    <chartFormat chart="4" format="19">
      <pivotArea type="data" outline="0" fieldPosition="0">
        <references count="2">
          <reference field="4294967294" count="1" selected="0">
            <x v="0"/>
          </reference>
          <reference field="1" count="1" selected="0">
            <x v="4"/>
          </reference>
        </references>
      </pivotArea>
    </chartFormat>
    <chartFormat chart="4" format="20">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3E138C-FE59-4176-AD64-7C74737654F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5" firstHeaderRow="1" firstDataRow="1" firstDataCol="1"/>
  <pivotFields count="12">
    <pivotField showAll="0"/>
    <pivotField showAll="0">
      <items count="7">
        <item x="5"/>
        <item x="2"/>
        <item x="4"/>
        <item x="1"/>
        <item x="0"/>
        <item x="3"/>
        <item t="default"/>
      </items>
    </pivotField>
    <pivotField showAll="0"/>
    <pivotField showAll="0"/>
    <pivotField axis="axisRow" showAll="0">
      <items count="6">
        <item h="1" x="2"/>
        <item h="1" x="4"/>
        <item h="1" x="0"/>
        <item h="1" x="1"/>
        <item x="3"/>
        <item t="default"/>
      </items>
    </pivotField>
    <pivotField showAll="0"/>
    <pivotField dataField="1" showAll="0"/>
    <pivotField showAll="0"/>
    <pivotField showAll="0"/>
    <pivotField showAll="0"/>
    <pivotField showAll="0"/>
    <pivotField showAll="0"/>
  </pivotFields>
  <rowFields count="1">
    <field x="4"/>
  </rowFields>
  <rowItems count="2">
    <i>
      <x v="4"/>
    </i>
    <i t="grand">
      <x/>
    </i>
  </rowItems>
  <colItems count="1">
    <i/>
  </colItems>
  <dataFields count="1">
    <dataField name="Sum of charging_cycles" fld="6"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9F67B0-8999-47F8-867A-406CC4E945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12">
    <pivotField showAll="0"/>
    <pivotField axis="axisRow" showAll="0">
      <items count="7">
        <item h="1" x="5"/>
        <item h="1" x="2"/>
        <item x="4"/>
        <item h="1" x="1"/>
        <item h="1" x="0"/>
        <item h="1" x="3"/>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
  </rowFields>
  <rowItems count="2">
    <i>
      <x v="2"/>
    </i>
    <i t="grand">
      <x/>
    </i>
  </rowItems>
  <colItems count="1">
    <i/>
  </colItems>
  <dataFields count="1">
    <dataField name="Sum of performance_rating" fld="11" baseField="1" baseItem="0"/>
  </dataFields>
  <chartFormats count="10">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1" count="1" selected="0">
            <x v="0"/>
          </reference>
        </references>
      </pivotArea>
    </chartFormat>
    <chartFormat chart="7" format="6">
      <pivotArea type="data" outline="0" fieldPosition="0">
        <references count="2">
          <reference field="4294967294" count="1" selected="0">
            <x v="0"/>
          </reference>
          <reference field="1" count="1" selected="0">
            <x v="1"/>
          </reference>
        </references>
      </pivotArea>
    </chartFormat>
    <chartFormat chart="4" format="1">
      <pivotArea type="data" outline="0" fieldPosition="0">
        <references count="2">
          <reference field="4294967294" count="1" selected="0">
            <x v="0"/>
          </reference>
          <reference field="1" count="1" selected="0">
            <x v="0"/>
          </reference>
        </references>
      </pivotArea>
    </chartFormat>
    <chartFormat chart="7" format="7">
      <pivotArea type="data" outline="0" fieldPosition="0">
        <references count="2">
          <reference field="4294967294" count="1" selected="0">
            <x v="0"/>
          </reference>
          <reference field="1" count="1" selected="0">
            <x v="5"/>
          </reference>
        </references>
      </pivotArea>
    </chartFormat>
    <chartFormat chart="4" format="2">
      <pivotArea type="data" outline="0" fieldPosition="0">
        <references count="2">
          <reference field="4294967294" count="1" selected="0">
            <x v="0"/>
          </reference>
          <reference field="1" count="1" selected="0">
            <x v="1"/>
          </reference>
        </references>
      </pivotArea>
    </chartFormat>
    <chartFormat chart="7" format="8">
      <pivotArea type="data" outline="0" fieldPosition="0">
        <references count="2">
          <reference field="4294967294" count="1" selected="0">
            <x v="0"/>
          </reference>
          <reference field="1" count="1" selected="0">
            <x v="3"/>
          </reference>
        </references>
      </pivotArea>
    </chartFormat>
    <chartFormat chart="4" format="3">
      <pivotArea type="data" outline="0" fieldPosition="0">
        <references count="2">
          <reference field="4294967294" count="1" selected="0">
            <x v="0"/>
          </reference>
          <reference field="1" count="1" selected="0">
            <x v="3"/>
          </reference>
        </references>
      </pivotArea>
    </chartFormat>
    <chartFormat chart="7" format="9">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5AA1DD-17CC-4698-9CE5-DF386731E97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2">
    <pivotField showAll="0"/>
    <pivotField axis="axisRow" showAll="0">
      <items count="7">
        <item x="5"/>
        <item x="2"/>
        <item x="4"/>
        <item x="1"/>
        <item x="0"/>
        <item x="3"/>
        <item t="default"/>
      </items>
    </pivotField>
    <pivotField showAll="0"/>
    <pivotField showAll="0"/>
    <pivotField showAll="0"/>
    <pivotField showAll="0"/>
    <pivotField dataField="1" showAll="0"/>
    <pivotField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Sum of charging_cycles" fld="6" baseField="1"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710CD6-2CAF-4EA3-8338-B3C8EB0B6A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2">
    <pivotField showAll="0"/>
    <pivotField axis="axisRow" showAll="0">
      <items count="7">
        <item x="5"/>
        <item x="2"/>
        <item x="4"/>
        <item x="1"/>
        <item x="0"/>
        <item x="3"/>
        <item t="default"/>
      </items>
    </pivotField>
    <pivotField showAll="0"/>
    <pivotField showAll="0">
      <items count="3">
        <item x="1"/>
        <item x="0"/>
        <item t="default"/>
      </items>
    </pivotField>
    <pivotField showAll="0"/>
    <pivotField showAll="0"/>
    <pivotField showAll="0"/>
    <pivotField dataField="1"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Sum of avg_charge_limit_percent" fld="7" showDataAs="percentOfTotal" baseField="1" baseItem="0" numFmtId="1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81A0F5C3-A6C1-44F4-8F18-ED8F43B044B7}" sourceName="brand">
  <pivotTables>
    <pivotTable tabId="4" name="PivotTable2"/>
  </pivotTables>
  <data>
    <tabular pivotCacheId="2076472540">
      <items count="6">
        <i x="5"/>
        <i x="2"/>
        <i x="4" s="1"/>
        <i x="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age_type" xr10:uid="{1765AFE5-6CB1-41B0-BD03-5894765128F2}" sourceName="usage_type">
  <pivotTables>
    <pivotTable tabId="2" name="PivotTable1"/>
  </pivotTables>
  <data>
    <tabular pivotCacheId="2076472540">
      <items count="5">
        <i x="2"/>
        <i x="4"/>
        <i x="0"/>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sage_type1" xr10:uid="{F64EEDA1-2812-4F12-A0D4-68D73FB07B46}" sourceName="usage_type">
  <pivotTables>
    <pivotTable tabId="3" name="PivotTable1"/>
  </pivotTables>
  <data>
    <tabular pivotCacheId="2076472540">
      <items count="5">
        <i x="2"/>
        <i x="4"/>
        <i x="0"/>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FDFA160D-8E74-4458-A371-E17AFD6B719B}" cache="Slicer_brand" caption="brand"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C6F06BA5-75A0-4035-A3B6-4B67189F6762}" cache="Slicer_brand" caption="brand" rowHeight="234950"/>
  <slicer name="usage_type" xr10:uid="{42BB1621-1576-42DF-8056-D9A3E67D5190}" cache="Slicer_usage_type" caption="usage_type" rowHeight="234950"/>
  <slicer name="usage_type 1" xr10:uid="{F215BDF1-68AE-4BF5-85B3-C411A920FA4B}" cache="Slicer_usage_type1" caption="usage_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FAA5DF3-4419-47D6-9A85-E90EE67E3CEF}" name="Table1" displayName="Table1" ref="A1:L51" totalsRowShown="0">
  <autoFilter ref="A1:L51" xr:uid="{DFAA5DF3-4419-47D6-9A85-E90EE67E3CEF}"/>
  <tableColumns count="12">
    <tableColumn id="1" xr3:uid="{71C98A39-6E68-4390-A83C-ACC276C53967}" name="device_id"/>
    <tableColumn id="2" xr3:uid="{7B98D970-12D8-4970-88E8-6062327C25B4}" name="brand"/>
    <tableColumn id="3" xr3:uid="{213AA590-ADF4-47EE-A815-347C128ED658}" name="model_year"/>
    <tableColumn id="4" xr3:uid="{753963C2-7C6A-421C-B0FF-C14A6A650B27}" name="os"/>
    <tableColumn id="5" xr3:uid="{884F2EB1-89E9-4A94-873C-3D46B2993D78}" name="usage_type"/>
    <tableColumn id="6" xr3:uid="{6021BE9C-0C99-465B-ADBA-53C36CE6819F}" name="daily_usage_hours"/>
    <tableColumn id="7" xr3:uid="{05BA51E4-2040-4CB7-AC4A-7937372C3572}" name="charging_cycles"/>
    <tableColumn id="8" xr3:uid="{5EBA1F60-1501-4D1D-BB90-ED3E98536649}" name="avg_charge_limit_percent"/>
    <tableColumn id="9" xr3:uid="{977F21C2-B250-4DB4-8C00-19B630EF6BA7}" name="battery_health_percent"/>
    <tableColumn id="10" xr3:uid="{2CF56BEA-696F-4DB6-8705-D21F2226204A}" name="battery_age_months"/>
    <tableColumn id="11" xr3:uid="{3DD570B9-FE4B-4760-8732-7D55FA06124F}" name="overheating_issues"/>
    <tableColumn id="12" xr3:uid="{9660CB88-D7EB-4FEE-8CD1-4E69A96AABF2}" name="performance_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794105-0F1F-4A95-8572-2CE22DEAAFCE}" name="Table2" displayName="Table2" ref="A2:D11" totalsRowShown="0">
  <autoFilter ref="A2:D11" xr:uid="{09794105-0F1F-4A95-8572-2CE22DEAAFCE}"/>
  <tableColumns count="4">
    <tableColumn id="1" xr3:uid="{04103434-DBBA-49AE-8DE9-13D1E41ED75B}" name="Column1"/>
    <tableColumn id="2" xr3:uid="{F7D0AC70-1AD4-44D8-BD83-EC70EA5E671F}" name="Column2"/>
    <tableColumn id="3" xr3:uid="{AA2D4CC8-9BC8-4ED5-924F-4356AB24C428}" name="Column3"/>
    <tableColumn id="4" xr3:uid="{9E7707B0-AE3A-4B80-B5E8-9C120A229147}" name="Column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9FFE3-CC36-4C20-B073-6F4723895AEE}">
  <dimension ref="A3:B7"/>
  <sheetViews>
    <sheetView topLeftCell="A2" workbookViewId="0">
      <selection activeCell="D18" sqref="D18"/>
    </sheetView>
  </sheetViews>
  <sheetFormatPr defaultRowHeight="14.4" x14ac:dyDescent="0.3"/>
  <cols>
    <col min="1" max="1" width="12.5546875" bestFit="1" customWidth="1"/>
    <col min="2" max="2" width="18.6640625" bestFit="1" customWidth="1"/>
  </cols>
  <sheetData>
    <row r="3" spans="1:2" x14ac:dyDescent="0.3">
      <c r="A3" s="1" t="s">
        <v>77</v>
      </c>
      <c r="B3" t="s">
        <v>79</v>
      </c>
    </row>
    <row r="4" spans="1:2" x14ac:dyDescent="0.3">
      <c r="A4" s="2" t="s">
        <v>22</v>
      </c>
      <c r="B4">
        <v>4</v>
      </c>
    </row>
    <row r="5" spans="1:2" x14ac:dyDescent="0.3">
      <c r="A5" s="2" t="s">
        <v>18</v>
      </c>
      <c r="B5">
        <v>3</v>
      </c>
    </row>
    <row r="6" spans="1:2" x14ac:dyDescent="0.3">
      <c r="A6" s="2" t="s">
        <v>26</v>
      </c>
      <c r="B6">
        <v>5</v>
      </c>
    </row>
    <row r="7" spans="1:2" x14ac:dyDescent="0.3">
      <c r="A7" s="2" t="s">
        <v>78</v>
      </c>
      <c r="B7">
        <v>12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49D5E-1070-47DD-8ABF-00D811766790}">
  <dimension ref="A3:B16"/>
  <sheetViews>
    <sheetView workbookViewId="0">
      <selection activeCell="B17" sqref="B17"/>
    </sheetView>
  </sheetViews>
  <sheetFormatPr defaultRowHeight="14.4" x14ac:dyDescent="0.3"/>
  <cols>
    <col min="1" max="1" width="12.5546875" bestFit="1" customWidth="1"/>
    <col min="2" max="2" width="20.88671875" bestFit="1" customWidth="1"/>
  </cols>
  <sheetData>
    <row r="3" spans="1:2" x14ac:dyDescent="0.3">
      <c r="A3" s="1" t="s">
        <v>77</v>
      </c>
      <c r="B3" t="s">
        <v>81</v>
      </c>
    </row>
    <row r="4" spans="1:2" x14ac:dyDescent="0.3">
      <c r="A4" s="2" t="s">
        <v>27</v>
      </c>
      <c r="B4">
        <v>6080</v>
      </c>
    </row>
    <row r="5" spans="1:2" x14ac:dyDescent="0.3">
      <c r="A5" s="2" t="s">
        <v>78</v>
      </c>
      <c r="B5">
        <v>6080</v>
      </c>
    </row>
    <row r="15" spans="1:2" x14ac:dyDescent="0.3">
      <c r="A15" s="3" t="s">
        <v>82</v>
      </c>
      <c r="B15" s="3">
        <f>MIN(Table1[battery_health_percent])</f>
        <v>55</v>
      </c>
    </row>
    <row r="16" spans="1:2" x14ac:dyDescent="0.3">
      <c r="B16">
        <f>MAX(Table1[battery_health_percent])</f>
        <v>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5DDE7-3A8E-442B-A4F9-6A7EB2BA3FBB}">
  <dimension ref="A3:B5"/>
  <sheetViews>
    <sheetView workbookViewId="0">
      <selection activeCell="A17" sqref="A17"/>
    </sheetView>
  </sheetViews>
  <sheetFormatPr defaultRowHeight="14.4" x14ac:dyDescent="0.3"/>
  <cols>
    <col min="1" max="1" width="12.5546875" bestFit="1" customWidth="1"/>
    <col min="2" max="2" width="24.5546875" bestFit="1" customWidth="1"/>
  </cols>
  <sheetData>
    <row r="3" spans="1:2" x14ac:dyDescent="0.3">
      <c r="A3" s="1" t="s">
        <v>77</v>
      </c>
      <c r="B3" t="s">
        <v>80</v>
      </c>
    </row>
    <row r="4" spans="1:2" x14ac:dyDescent="0.3">
      <c r="A4" s="2" t="s">
        <v>29</v>
      </c>
      <c r="B4">
        <v>21</v>
      </c>
    </row>
    <row r="5" spans="1:2" x14ac:dyDescent="0.3">
      <c r="A5" s="2" t="s">
        <v>78</v>
      </c>
      <c r="B5">
        <v>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73A71-4594-4445-BB9C-0FABB4B8FBAF}">
  <dimension ref="A3:B10"/>
  <sheetViews>
    <sheetView workbookViewId="0">
      <selection activeCell="A15" sqref="A15"/>
    </sheetView>
  </sheetViews>
  <sheetFormatPr defaultRowHeight="14.4" x14ac:dyDescent="0.3"/>
  <cols>
    <col min="1" max="1" width="12.5546875" bestFit="1" customWidth="1"/>
    <col min="2" max="2" width="20.88671875" bestFit="1" customWidth="1"/>
  </cols>
  <sheetData>
    <row r="3" spans="1:2" x14ac:dyDescent="0.3">
      <c r="A3" s="1" t="s">
        <v>77</v>
      </c>
      <c r="B3" t="s">
        <v>81</v>
      </c>
    </row>
    <row r="4" spans="1:2" x14ac:dyDescent="0.3">
      <c r="A4" s="2" t="s">
        <v>32</v>
      </c>
      <c r="B4">
        <v>4250</v>
      </c>
    </row>
    <row r="5" spans="1:2" x14ac:dyDescent="0.3">
      <c r="A5" s="2" t="s">
        <v>22</v>
      </c>
      <c r="B5">
        <v>3680</v>
      </c>
    </row>
    <row r="6" spans="1:2" x14ac:dyDescent="0.3">
      <c r="A6" s="2" t="s">
        <v>29</v>
      </c>
      <c r="B6">
        <v>5530</v>
      </c>
    </row>
    <row r="7" spans="1:2" x14ac:dyDescent="0.3">
      <c r="A7" s="2" t="s">
        <v>18</v>
      </c>
      <c r="B7">
        <v>4030</v>
      </c>
    </row>
    <row r="8" spans="1:2" x14ac:dyDescent="0.3">
      <c r="A8" s="2" t="s">
        <v>13</v>
      </c>
      <c r="B8">
        <v>4540</v>
      </c>
    </row>
    <row r="9" spans="1:2" x14ac:dyDescent="0.3">
      <c r="A9" s="2" t="s">
        <v>26</v>
      </c>
      <c r="B9">
        <v>4290</v>
      </c>
    </row>
    <row r="10" spans="1:2" x14ac:dyDescent="0.3">
      <c r="A10" s="2" t="s">
        <v>78</v>
      </c>
      <c r="B10">
        <v>26320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6F90C-1E56-4C69-8064-8F2EB05B2089}">
  <dimension ref="A1"/>
  <sheetViews>
    <sheetView workbookViewId="0">
      <selection activeCell="D80" sqref="D80"/>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BBF19-5F6D-48C9-B58A-3168094EC6DB}">
  <dimension ref="A3:B10"/>
  <sheetViews>
    <sheetView workbookViewId="0">
      <selection activeCell="G4" sqref="G4"/>
    </sheetView>
  </sheetViews>
  <sheetFormatPr defaultRowHeight="14.4" x14ac:dyDescent="0.3"/>
  <cols>
    <col min="1" max="1" width="12.5546875" bestFit="1" customWidth="1"/>
    <col min="2" max="2" width="29.77734375" bestFit="1" customWidth="1"/>
  </cols>
  <sheetData>
    <row r="3" spans="1:2" x14ac:dyDescent="0.3">
      <c r="A3" s="1" t="s">
        <v>77</v>
      </c>
      <c r="B3" t="s">
        <v>83</v>
      </c>
    </row>
    <row r="4" spans="1:2" x14ac:dyDescent="0.3">
      <c r="A4" s="2" t="s">
        <v>32</v>
      </c>
      <c r="B4" s="4">
        <v>0.16503800217155265</v>
      </c>
    </row>
    <row r="5" spans="1:2" x14ac:dyDescent="0.3">
      <c r="A5" s="2" t="s">
        <v>22</v>
      </c>
      <c r="B5" s="4">
        <v>0.16069489685124863</v>
      </c>
    </row>
    <row r="6" spans="1:2" x14ac:dyDescent="0.3">
      <c r="A6" s="2" t="s">
        <v>29</v>
      </c>
      <c r="B6" s="4">
        <v>0.16829533116178066</v>
      </c>
    </row>
    <row r="7" spans="1:2" x14ac:dyDescent="0.3">
      <c r="A7" s="2" t="s">
        <v>18</v>
      </c>
      <c r="B7" s="4">
        <v>0.16395222584147665</v>
      </c>
    </row>
    <row r="8" spans="1:2" x14ac:dyDescent="0.3">
      <c r="A8" s="2" t="s">
        <v>13</v>
      </c>
      <c r="B8" s="4">
        <v>0.18132464712269272</v>
      </c>
    </row>
    <row r="9" spans="1:2" x14ac:dyDescent="0.3">
      <c r="A9" s="2" t="s">
        <v>26</v>
      </c>
      <c r="B9" s="4">
        <v>0.16069489685124863</v>
      </c>
    </row>
    <row r="10" spans="1:2" x14ac:dyDescent="0.3">
      <c r="A10" s="2" t="s">
        <v>78</v>
      </c>
      <c r="B10" s="4">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D4C45-1250-436C-AC46-D41053E4E86C}">
  <dimension ref="A1:L51"/>
  <sheetViews>
    <sheetView workbookViewId="0">
      <selection activeCell="J5" sqref="J5"/>
    </sheetView>
  </sheetViews>
  <sheetFormatPr defaultRowHeight="14.4" x14ac:dyDescent="0.3"/>
  <cols>
    <col min="1" max="1" width="10.88671875" customWidth="1"/>
    <col min="3" max="3" width="12.88671875" customWidth="1"/>
    <col min="5" max="5" width="12.5546875" customWidth="1"/>
    <col min="6" max="6" width="18.5546875" customWidth="1"/>
    <col min="7" max="7" width="16.109375" customWidth="1"/>
    <col min="8" max="8" width="24.6640625" customWidth="1"/>
    <col min="9" max="9" width="22.77734375" customWidth="1"/>
    <col min="10" max="10" width="20.44140625" customWidth="1"/>
    <col min="11" max="11" width="18.88671875" customWidth="1"/>
    <col min="12" max="12" width="19.66406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v>2021</v>
      </c>
      <c r="D2" t="s">
        <v>14</v>
      </c>
      <c r="E2" t="s">
        <v>15</v>
      </c>
      <c r="F2">
        <v>6</v>
      </c>
      <c r="G2">
        <v>420</v>
      </c>
      <c r="H2">
        <v>90</v>
      </c>
      <c r="I2">
        <v>86</v>
      </c>
      <c r="J2">
        <v>36</v>
      </c>
      <c r="K2" t="s">
        <v>16</v>
      </c>
      <c r="L2">
        <v>4</v>
      </c>
    </row>
    <row r="3" spans="1:12" x14ac:dyDescent="0.3">
      <c r="A3" t="s">
        <v>17</v>
      </c>
      <c r="B3" t="s">
        <v>18</v>
      </c>
      <c r="C3">
        <v>2020</v>
      </c>
      <c r="D3" t="s">
        <v>14</v>
      </c>
      <c r="E3" t="s">
        <v>19</v>
      </c>
      <c r="F3">
        <v>8</v>
      </c>
      <c r="G3">
        <v>610</v>
      </c>
      <c r="H3">
        <v>100</v>
      </c>
      <c r="I3">
        <v>78</v>
      </c>
      <c r="J3">
        <v>48</v>
      </c>
      <c r="K3" t="s">
        <v>20</v>
      </c>
      <c r="L3">
        <v>3</v>
      </c>
    </row>
    <row r="4" spans="1:12" x14ac:dyDescent="0.3">
      <c r="A4" t="s">
        <v>21</v>
      </c>
      <c r="B4" t="s">
        <v>22</v>
      </c>
      <c r="C4">
        <v>2022</v>
      </c>
      <c r="D4" t="s">
        <v>23</v>
      </c>
      <c r="E4" t="s">
        <v>24</v>
      </c>
      <c r="F4">
        <v>7</v>
      </c>
      <c r="G4">
        <v>310</v>
      </c>
      <c r="H4">
        <v>85</v>
      </c>
      <c r="I4">
        <v>92</v>
      </c>
      <c r="J4">
        <v>24</v>
      </c>
      <c r="K4" t="s">
        <v>16</v>
      </c>
      <c r="L4">
        <v>5</v>
      </c>
    </row>
    <row r="5" spans="1:12" x14ac:dyDescent="0.3">
      <c r="A5" t="s">
        <v>25</v>
      </c>
      <c r="B5" t="s">
        <v>26</v>
      </c>
      <c r="C5">
        <v>2019</v>
      </c>
      <c r="D5" t="s">
        <v>14</v>
      </c>
      <c r="E5" t="s">
        <v>27</v>
      </c>
      <c r="F5">
        <v>5</v>
      </c>
      <c r="G5">
        <v>700</v>
      </c>
      <c r="H5">
        <v>100</v>
      </c>
      <c r="I5">
        <v>70</v>
      </c>
      <c r="J5">
        <v>60</v>
      </c>
      <c r="K5" t="s">
        <v>20</v>
      </c>
      <c r="L5">
        <v>3</v>
      </c>
    </row>
    <row r="6" spans="1:12" x14ac:dyDescent="0.3">
      <c r="A6" t="s">
        <v>28</v>
      </c>
      <c r="B6" t="s">
        <v>29</v>
      </c>
      <c r="C6">
        <v>2021</v>
      </c>
      <c r="D6" t="s">
        <v>14</v>
      </c>
      <c r="E6" t="s">
        <v>30</v>
      </c>
      <c r="F6">
        <v>9</v>
      </c>
      <c r="G6">
        <v>820</v>
      </c>
      <c r="H6">
        <v>100</v>
      </c>
      <c r="I6">
        <v>65</v>
      </c>
      <c r="J6">
        <v>40</v>
      </c>
      <c r="K6" t="s">
        <v>20</v>
      </c>
      <c r="L6">
        <v>2</v>
      </c>
    </row>
    <row r="7" spans="1:12" x14ac:dyDescent="0.3">
      <c r="A7" t="s">
        <v>31</v>
      </c>
      <c r="B7" t="s">
        <v>32</v>
      </c>
      <c r="C7">
        <v>2020</v>
      </c>
      <c r="D7" t="s">
        <v>14</v>
      </c>
      <c r="E7" t="s">
        <v>15</v>
      </c>
      <c r="F7">
        <v>6</v>
      </c>
      <c r="G7">
        <v>540</v>
      </c>
      <c r="H7">
        <v>95</v>
      </c>
      <c r="I7">
        <v>80</v>
      </c>
      <c r="J7">
        <v>50</v>
      </c>
      <c r="K7" t="s">
        <v>16</v>
      </c>
      <c r="L7">
        <v>4</v>
      </c>
    </row>
    <row r="8" spans="1:12" x14ac:dyDescent="0.3">
      <c r="A8" t="s">
        <v>33</v>
      </c>
      <c r="B8" t="s">
        <v>22</v>
      </c>
      <c r="C8">
        <v>2023</v>
      </c>
      <c r="D8" t="s">
        <v>23</v>
      </c>
      <c r="E8" t="s">
        <v>19</v>
      </c>
      <c r="F8">
        <v>8</v>
      </c>
      <c r="G8">
        <v>210</v>
      </c>
      <c r="H8">
        <v>80</v>
      </c>
      <c r="I8">
        <v>95</v>
      </c>
      <c r="J8">
        <v>18</v>
      </c>
      <c r="K8" t="s">
        <v>16</v>
      </c>
      <c r="L8">
        <v>5</v>
      </c>
    </row>
    <row r="9" spans="1:12" x14ac:dyDescent="0.3">
      <c r="A9" t="s">
        <v>34</v>
      </c>
      <c r="B9" t="s">
        <v>13</v>
      </c>
      <c r="C9">
        <v>2018</v>
      </c>
      <c r="D9" t="s">
        <v>14</v>
      </c>
      <c r="E9" t="s">
        <v>27</v>
      </c>
      <c r="F9">
        <v>4</v>
      </c>
      <c r="G9">
        <v>880</v>
      </c>
      <c r="H9">
        <v>100</v>
      </c>
      <c r="I9">
        <v>60</v>
      </c>
      <c r="J9">
        <v>72</v>
      </c>
      <c r="K9" t="s">
        <v>20</v>
      </c>
      <c r="L9">
        <v>2</v>
      </c>
    </row>
    <row r="10" spans="1:12" x14ac:dyDescent="0.3">
      <c r="A10" t="s">
        <v>35</v>
      </c>
      <c r="B10" t="s">
        <v>18</v>
      </c>
      <c r="C10">
        <v>2022</v>
      </c>
      <c r="D10" t="s">
        <v>14</v>
      </c>
      <c r="E10" t="s">
        <v>15</v>
      </c>
      <c r="F10">
        <v>6</v>
      </c>
      <c r="G10">
        <v>350</v>
      </c>
      <c r="H10">
        <v>90</v>
      </c>
      <c r="I10">
        <v>88</v>
      </c>
      <c r="J10">
        <v>30</v>
      </c>
      <c r="K10" t="s">
        <v>16</v>
      </c>
      <c r="L10">
        <v>4</v>
      </c>
    </row>
    <row r="11" spans="1:12" x14ac:dyDescent="0.3">
      <c r="A11" t="s">
        <v>36</v>
      </c>
      <c r="B11" t="s">
        <v>26</v>
      </c>
      <c r="C11">
        <v>2021</v>
      </c>
      <c r="D11" t="s">
        <v>14</v>
      </c>
      <c r="E11" t="s">
        <v>19</v>
      </c>
      <c r="F11">
        <v>7</v>
      </c>
      <c r="G11">
        <v>480</v>
      </c>
      <c r="H11">
        <v>85</v>
      </c>
      <c r="I11">
        <v>83</v>
      </c>
      <c r="J11">
        <v>36</v>
      </c>
      <c r="K11" t="s">
        <v>16</v>
      </c>
      <c r="L11">
        <v>4</v>
      </c>
    </row>
    <row r="12" spans="1:12" x14ac:dyDescent="0.3">
      <c r="A12" t="s">
        <v>37</v>
      </c>
      <c r="B12" t="s">
        <v>29</v>
      </c>
      <c r="C12">
        <v>2020</v>
      </c>
      <c r="D12" t="s">
        <v>14</v>
      </c>
      <c r="E12" t="s">
        <v>30</v>
      </c>
      <c r="F12">
        <v>10</v>
      </c>
      <c r="G12">
        <v>900</v>
      </c>
      <c r="H12">
        <v>100</v>
      </c>
      <c r="I12">
        <v>58</v>
      </c>
      <c r="J12">
        <v>54</v>
      </c>
      <c r="K12" t="s">
        <v>20</v>
      </c>
      <c r="L12">
        <v>2</v>
      </c>
    </row>
    <row r="13" spans="1:12" x14ac:dyDescent="0.3">
      <c r="A13" t="s">
        <v>38</v>
      </c>
      <c r="B13" t="s">
        <v>32</v>
      </c>
      <c r="C13">
        <v>2019</v>
      </c>
      <c r="D13" t="s">
        <v>14</v>
      </c>
      <c r="E13" t="s">
        <v>15</v>
      </c>
      <c r="F13">
        <v>5</v>
      </c>
      <c r="G13">
        <v>620</v>
      </c>
      <c r="H13">
        <v>95</v>
      </c>
      <c r="I13">
        <v>75</v>
      </c>
      <c r="J13">
        <v>60</v>
      </c>
      <c r="K13" t="s">
        <v>16</v>
      </c>
      <c r="L13">
        <v>3</v>
      </c>
    </row>
    <row r="14" spans="1:12" x14ac:dyDescent="0.3">
      <c r="A14" t="s">
        <v>39</v>
      </c>
      <c r="B14" t="s">
        <v>22</v>
      </c>
      <c r="C14">
        <v>2021</v>
      </c>
      <c r="D14" t="s">
        <v>23</v>
      </c>
      <c r="E14" t="s">
        <v>24</v>
      </c>
      <c r="F14">
        <v>6</v>
      </c>
      <c r="G14">
        <v>400</v>
      </c>
      <c r="H14">
        <v>80</v>
      </c>
      <c r="I14">
        <v>90</v>
      </c>
      <c r="J14">
        <v>42</v>
      </c>
      <c r="K14" t="s">
        <v>16</v>
      </c>
      <c r="L14">
        <v>5</v>
      </c>
    </row>
    <row r="15" spans="1:12" x14ac:dyDescent="0.3">
      <c r="A15" t="s">
        <v>40</v>
      </c>
      <c r="B15" t="s">
        <v>13</v>
      </c>
      <c r="C15">
        <v>2022</v>
      </c>
      <c r="D15" t="s">
        <v>14</v>
      </c>
      <c r="E15" t="s">
        <v>27</v>
      </c>
      <c r="F15">
        <v>5</v>
      </c>
      <c r="G15">
        <v>300</v>
      </c>
      <c r="H15">
        <v>90</v>
      </c>
      <c r="I15">
        <v>91</v>
      </c>
      <c r="J15">
        <v>24</v>
      </c>
      <c r="K15" t="s">
        <v>16</v>
      </c>
      <c r="L15">
        <v>5</v>
      </c>
    </row>
    <row r="16" spans="1:12" x14ac:dyDescent="0.3">
      <c r="A16" t="s">
        <v>41</v>
      </c>
      <c r="B16" t="s">
        <v>18</v>
      </c>
      <c r="C16">
        <v>2018</v>
      </c>
      <c r="D16" t="s">
        <v>14</v>
      </c>
      <c r="E16" t="s">
        <v>15</v>
      </c>
      <c r="F16">
        <v>6</v>
      </c>
      <c r="G16">
        <v>850</v>
      </c>
      <c r="H16">
        <v>100</v>
      </c>
      <c r="I16">
        <v>62</v>
      </c>
      <c r="J16">
        <v>72</v>
      </c>
      <c r="K16" t="s">
        <v>20</v>
      </c>
      <c r="L16">
        <v>2</v>
      </c>
    </row>
    <row r="17" spans="1:12" x14ac:dyDescent="0.3">
      <c r="A17" t="s">
        <v>42</v>
      </c>
      <c r="B17" t="s">
        <v>26</v>
      </c>
      <c r="C17">
        <v>2023</v>
      </c>
      <c r="D17" t="s">
        <v>14</v>
      </c>
      <c r="E17" t="s">
        <v>19</v>
      </c>
      <c r="F17">
        <v>8</v>
      </c>
      <c r="G17">
        <v>220</v>
      </c>
      <c r="H17">
        <v>85</v>
      </c>
      <c r="I17">
        <v>94</v>
      </c>
      <c r="J17">
        <v>18</v>
      </c>
      <c r="K17" t="s">
        <v>16</v>
      </c>
      <c r="L17">
        <v>5</v>
      </c>
    </row>
    <row r="18" spans="1:12" x14ac:dyDescent="0.3">
      <c r="A18" t="s">
        <v>43</v>
      </c>
      <c r="B18" t="s">
        <v>29</v>
      </c>
      <c r="C18">
        <v>2021</v>
      </c>
      <c r="D18" t="s">
        <v>14</v>
      </c>
      <c r="E18" t="s">
        <v>15</v>
      </c>
      <c r="F18">
        <v>6</v>
      </c>
      <c r="G18">
        <v>450</v>
      </c>
      <c r="H18">
        <v>90</v>
      </c>
      <c r="I18">
        <v>85</v>
      </c>
      <c r="J18">
        <v>36</v>
      </c>
      <c r="K18" t="s">
        <v>16</v>
      </c>
      <c r="L18">
        <v>4</v>
      </c>
    </row>
    <row r="19" spans="1:12" x14ac:dyDescent="0.3">
      <c r="A19" t="s">
        <v>44</v>
      </c>
      <c r="B19" t="s">
        <v>32</v>
      </c>
      <c r="C19">
        <v>2020</v>
      </c>
      <c r="D19" t="s">
        <v>14</v>
      </c>
      <c r="E19" t="s">
        <v>27</v>
      </c>
      <c r="F19">
        <v>4</v>
      </c>
      <c r="G19">
        <v>560</v>
      </c>
      <c r="H19">
        <v>95</v>
      </c>
      <c r="I19">
        <v>79</v>
      </c>
      <c r="J19">
        <v>48</v>
      </c>
      <c r="K19" t="s">
        <v>16</v>
      </c>
      <c r="L19">
        <v>3</v>
      </c>
    </row>
    <row r="20" spans="1:12" x14ac:dyDescent="0.3">
      <c r="A20" t="s">
        <v>45</v>
      </c>
      <c r="B20" t="s">
        <v>22</v>
      </c>
      <c r="C20">
        <v>2019</v>
      </c>
      <c r="D20" t="s">
        <v>23</v>
      </c>
      <c r="E20" t="s">
        <v>24</v>
      </c>
      <c r="F20">
        <v>7</v>
      </c>
      <c r="G20">
        <v>680</v>
      </c>
      <c r="H20">
        <v>85</v>
      </c>
      <c r="I20">
        <v>82</v>
      </c>
      <c r="J20">
        <v>60</v>
      </c>
      <c r="K20" t="s">
        <v>16</v>
      </c>
      <c r="L20">
        <v>4</v>
      </c>
    </row>
    <row r="21" spans="1:12" x14ac:dyDescent="0.3">
      <c r="A21" t="s">
        <v>46</v>
      </c>
      <c r="B21" t="s">
        <v>13</v>
      </c>
      <c r="C21">
        <v>2022</v>
      </c>
      <c r="D21" t="s">
        <v>14</v>
      </c>
      <c r="E21" t="s">
        <v>15</v>
      </c>
      <c r="F21">
        <v>6</v>
      </c>
      <c r="G21">
        <v>310</v>
      </c>
      <c r="H21">
        <v>90</v>
      </c>
      <c r="I21">
        <v>89</v>
      </c>
      <c r="J21">
        <v>24</v>
      </c>
      <c r="K21" t="s">
        <v>16</v>
      </c>
      <c r="L21">
        <v>4</v>
      </c>
    </row>
    <row r="22" spans="1:12" x14ac:dyDescent="0.3">
      <c r="A22" t="s">
        <v>47</v>
      </c>
      <c r="B22" t="s">
        <v>18</v>
      </c>
      <c r="C22">
        <v>2021</v>
      </c>
      <c r="D22" t="s">
        <v>14</v>
      </c>
      <c r="E22" t="s">
        <v>19</v>
      </c>
      <c r="F22">
        <v>8</v>
      </c>
      <c r="G22">
        <v>490</v>
      </c>
      <c r="H22">
        <v>100</v>
      </c>
      <c r="I22">
        <v>81</v>
      </c>
      <c r="J22">
        <v>36</v>
      </c>
      <c r="K22" t="s">
        <v>16</v>
      </c>
      <c r="L22">
        <v>4</v>
      </c>
    </row>
    <row r="23" spans="1:12" x14ac:dyDescent="0.3">
      <c r="A23" t="s">
        <v>48</v>
      </c>
      <c r="B23" t="s">
        <v>26</v>
      </c>
      <c r="C23">
        <v>2020</v>
      </c>
      <c r="D23" t="s">
        <v>14</v>
      </c>
      <c r="E23" t="s">
        <v>27</v>
      </c>
      <c r="F23">
        <v>5</v>
      </c>
      <c r="G23">
        <v>600</v>
      </c>
      <c r="H23">
        <v>95</v>
      </c>
      <c r="I23">
        <v>76</v>
      </c>
      <c r="J23">
        <v>48</v>
      </c>
      <c r="K23" t="s">
        <v>16</v>
      </c>
      <c r="L23">
        <v>3</v>
      </c>
    </row>
    <row r="24" spans="1:12" x14ac:dyDescent="0.3">
      <c r="A24" t="s">
        <v>49</v>
      </c>
      <c r="B24" t="s">
        <v>29</v>
      </c>
      <c r="C24">
        <v>2022</v>
      </c>
      <c r="D24" t="s">
        <v>14</v>
      </c>
      <c r="E24" t="s">
        <v>30</v>
      </c>
      <c r="F24">
        <v>9</v>
      </c>
      <c r="G24">
        <v>520</v>
      </c>
      <c r="H24">
        <v>100</v>
      </c>
      <c r="I24">
        <v>74</v>
      </c>
      <c r="J24">
        <v>30</v>
      </c>
      <c r="K24" t="s">
        <v>20</v>
      </c>
      <c r="L24">
        <v>3</v>
      </c>
    </row>
    <row r="25" spans="1:12" x14ac:dyDescent="0.3">
      <c r="A25" t="s">
        <v>50</v>
      </c>
      <c r="B25" t="s">
        <v>32</v>
      </c>
      <c r="C25">
        <v>2018</v>
      </c>
      <c r="D25" t="s">
        <v>14</v>
      </c>
      <c r="E25" t="s">
        <v>15</v>
      </c>
      <c r="F25">
        <v>6</v>
      </c>
      <c r="G25">
        <v>900</v>
      </c>
      <c r="H25">
        <v>100</v>
      </c>
      <c r="I25">
        <v>59</v>
      </c>
      <c r="J25">
        <v>72</v>
      </c>
      <c r="K25" t="s">
        <v>20</v>
      </c>
      <c r="L25">
        <v>2</v>
      </c>
    </row>
    <row r="26" spans="1:12" x14ac:dyDescent="0.3">
      <c r="A26" t="s">
        <v>51</v>
      </c>
      <c r="B26" t="s">
        <v>22</v>
      </c>
      <c r="C26">
        <v>2023</v>
      </c>
      <c r="D26" t="s">
        <v>23</v>
      </c>
      <c r="E26" t="s">
        <v>19</v>
      </c>
      <c r="F26">
        <v>7</v>
      </c>
      <c r="G26">
        <v>180</v>
      </c>
      <c r="H26">
        <v>80</v>
      </c>
      <c r="I26">
        <v>97</v>
      </c>
      <c r="J26">
        <v>12</v>
      </c>
      <c r="K26" t="s">
        <v>16</v>
      </c>
      <c r="L26">
        <v>5</v>
      </c>
    </row>
    <row r="27" spans="1:12" x14ac:dyDescent="0.3">
      <c r="A27" t="s">
        <v>52</v>
      </c>
      <c r="B27" t="s">
        <v>13</v>
      </c>
      <c r="C27">
        <v>2020</v>
      </c>
      <c r="D27" t="s">
        <v>14</v>
      </c>
      <c r="E27" t="s">
        <v>15</v>
      </c>
      <c r="F27">
        <v>6</v>
      </c>
      <c r="G27">
        <v>570</v>
      </c>
      <c r="H27">
        <v>95</v>
      </c>
      <c r="I27">
        <v>77</v>
      </c>
      <c r="J27">
        <v>48</v>
      </c>
      <c r="K27" t="s">
        <v>16</v>
      </c>
      <c r="L27">
        <v>3</v>
      </c>
    </row>
    <row r="28" spans="1:12" x14ac:dyDescent="0.3">
      <c r="A28" t="s">
        <v>53</v>
      </c>
      <c r="B28" t="s">
        <v>18</v>
      </c>
      <c r="C28">
        <v>2019</v>
      </c>
      <c r="D28" t="s">
        <v>14</v>
      </c>
      <c r="E28" t="s">
        <v>27</v>
      </c>
      <c r="F28">
        <v>5</v>
      </c>
      <c r="G28">
        <v>730</v>
      </c>
      <c r="H28">
        <v>100</v>
      </c>
      <c r="I28">
        <v>68</v>
      </c>
      <c r="J28">
        <v>60</v>
      </c>
      <c r="K28" t="s">
        <v>20</v>
      </c>
      <c r="L28">
        <v>2</v>
      </c>
    </row>
    <row r="29" spans="1:12" x14ac:dyDescent="0.3">
      <c r="A29" t="s">
        <v>54</v>
      </c>
      <c r="B29" t="s">
        <v>26</v>
      </c>
      <c r="C29">
        <v>2021</v>
      </c>
      <c r="D29" t="s">
        <v>14</v>
      </c>
      <c r="E29" t="s">
        <v>19</v>
      </c>
      <c r="F29">
        <v>8</v>
      </c>
      <c r="G29">
        <v>460</v>
      </c>
      <c r="H29">
        <v>90</v>
      </c>
      <c r="I29">
        <v>84</v>
      </c>
      <c r="J29">
        <v>36</v>
      </c>
      <c r="K29" t="s">
        <v>16</v>
      </c>
      <c r="L29">
        <v>4</v>
      </c>
    </row>
    <row r="30" spans="1:12" x14ac:dyDescent="0.3">
      <c r="A30" t="s">
        <v>55</v>
      </c>
      <c r="B30" t="s">
        <v>29</v>
      </c>
      <c r="C30">
        <v>2018</v>
      </c>
      <c r="D30" t="s">
        <v>14</v>
      </c>
      <c r="E30" t="s">
        <v>30</v>
      </c>
      <c r="F30">
        <v>10</v>
      </c>
      <c r="G30">
        <v>950</v>
      </c>
      <c r="H30">
        <v>100</v>
      </c>
      <c r="I30">
        <v>55</v>
      </c>
      <c r="J30">
        <v>72</v>
      </c>
      <c r="K30" t="s">
        <v>20</v>
      </c>
      <c r="L30">
        <v>1</v>
      </c>
    </row>
    <row r="31" spans="1:12" x14ac:dyDescent="0.3">
      <c r="A31" t="s">
        <v>56</v>
      </c>
      <c r="B31" t="s">
        <v>32</v>
      </c>
      <c r="C31">
        <v>2022</v>
      </c>
      <c r="D31" t="s">
        <v>14</v>
      </c>
      <c r="E31" t="s">
        <v>15</v>
      </c>
      <c r="F31">
        <v>6</v>
      </c>
      <c r="G31">
        <v>320</v>
      </c>
      <c r="H31">
        <v>90</v>
      </c>
      <c r="I31">
        <v>90</v>
      </c>
      <c r="J31">
        <v>24</v>
      </c>
      <c r="K31" t="s">
        <v>16</v>
      </c>
      <c r="L31">
        <v>4</v>
      </c>
    </row>
    <row r="32" spans="1:12" x14ac:dyDescent="0.3">
      <c r="A32" t="s">
        <v>57</v>
      </c>
      <c r="B32" t="s">
        <v>22</v>
      </c>
      <c r="C32">
        <v>2020</v>
      </c>
      <c r="D32" t="s">
        <v>23</v>
      </c>
      <c r="E32" t="s">
        <v>24</v>
      </c>
      <c r="F32">
        <v>7</v>
      </c>
      <c r="G32">
        <v>500</v>
      </c>
      <c r="H32">
        <v>85</v>
      </c>
      <c r="I32">
        <v>87</v>
      </c>
      <c r="J32">
        <v>48</v>
      </c>
      <c r="K32" t="s">
        <v>16</v>
      </c>
      <c r="L32">
        <v>4</v>
      </c>
    </row>
    <row r="33" spans="1:12" x14ac:dyDescent="0.3">
      <c r="A33" t="s">
        <v>58</v>
      </c>
      <c r="B33" t="s">
        <v>13</v>
      </c>
      <c r="C33">
        <v>2021</v>
      </c>
      <c r="D33" t="s">
        <v>14</v>
      </c>
      <c r="E33" t="s">
        <v>27</v>
      </c>
      <c r="F33">
        <v>5</v>
      </c>
      <c r="G33">
        <v>430</v>
      </c>
      <c r="H33">
        <v>90</v>
      </c>
      <c r="I33">
        <v>86</v>
      </c>
      <c r="J33">
        <v>36</v>
      </c>
      <c r="K33" t="s">
        <v>16</v>
      </c>
      <c r="L33">
        <v>4</v>
      </c>
    </row>
    <row r="34" spans="1:12" x14ac:dyDescent="0.3">
      <c r="A34" t="s">
        <v>59</v>
      </c>
      <c r="B34" t="s">
        <v>18</v>
      </c>
      <c r="C34">
        <v>2023</v>
      </c>
      <c r="D34" t="s">
        <v>14</v>
      </c>
      <c r="E34" t="s">
        <v>15</v>
      </c>
      <c r="F34">
        <v>6</v>
      </c>
      <c r="G34">
        <v>210</v>
      </c>
      <c r="H34">
        <v>85</v>
      </c>
      <c r="I34">
        <v>96</v>
      </c>
      <c r="J34">
        <v>18</v>
      </c>
      <c r="K34" t="s">
        <v>16</v>
      </c>
      <c r="L34">
        <v>5</v>
      </c>
    </row>
    <row r="35" spans="1:12" x14ac:dyDescent="0.3">
      <c r="A35" t="s">
        <v>60</v>
      </c>
      <c r="B35" t="s">
        <v>26</v>
      </c>
      <c r="C35">
        <v>2019</v>
      </c>
      <c r="D35" t="s">
        <v>14</v>
      </c>
      <c r="E35" t="s">
        <v>19</v>
      </c>
      <c r="F35">
        <v>7</v>
      </c>
      <c r="G35">
        <v>680</v>
      </c>
      <c r="H35">
        <v>100</v>
      </c>
      <c r="I35">
        <v>72</v>
      </c>
      <c r="J35">
        <v>60</v>
      </c>
      <c r="K35" t="s">
        <v>20</v>
      </c>
      <c r="L35">
        <v>3</v>
      </c>
    </row>
    <row r="36" spans="1:12" x14ac:dyDescent="0.3">
      <c r="A36" t="s">
        <v>61</v>
      </c>
      <c r="B36" t="s">
        <v>29</v>
      </c>
      <c r="C36">
        <v>2020</v>
      </c>
      <c r="D36" t="s">
        <v>14</v>
      </c>
      <c r="E36" t="s">
        <v>30</v>
      </c>
      <c r="F36">
        <v>9</v>
      </c>
      <c r="G36">
        <v>780</v>
      </c>
      <c r="H36">
        <v>100</v>
      </c>
      <c r="I36">
        <v>66</v>
      </c>
      <c r="J36">
        <v>48</v>
      </c>
      <c r="K36" t="s">
        <v>20</v>
      </c>
      <c r="L36">
        <v>2</v>
      </c>
    </row>
    <row r="37" spans="1:12" x14ac:dyDescent="0.3">
      <c r="A37" t="s">
        <v>62</v>
      </c>
      <c r="B37" t="s">
        <v>32</v>
      </c>
      <c r="C37">
        <v>2021</v>
      </c>
      <c r="D37" t="s">
        <v>14</v>
      </c>
      <c r="E37" t="s">
        <v>15</v>
      </c>
      <c r="F37">
        <v>6</v>
      </c>
      <c r="G37">
        <v>410</v>
      </c>
      <c r="H37">
        <v>95</v>
      </c>
      <c r="I37">
        <v>85</v>
      </c>
      <c r="J37">
        <v>36</v>
      </c>
      <c r="K37" t="s">
        <v>16</v>
      </c>
      <c r="L37">
        <v>4</v>
      </c>
    </row>
    <row r="38" spans="1:12" x14ac:dyDescent="0.3">
      <c r="A38" t="s">
        <v>63</v>
      </c>
      <c r="B38" t="s">
        <v>22</v>
      </c>
      <c r="C38">
        <v>2022</v>
      </c>
      <c r="D38" t="s">
        <v>23</v>
      </c>
      <c r="E38" t="s">
        <v>19</v>
      </c>
      <c r="F38">
        <v>8</v>
      </c>
      <c r="G38">
        <v>260</v>
      </c>
      <c r="H38">
        <v>80</v>
      </c>
      <c r="I38">
        <v>93</v>
      </c>
      <c r="J38">
        <v>24</v>
      </c>
      <c r="K38" t="s">
        <v>16</v>
      </c>
      <c r="L38">
        <v>5</v>
      </c>
    </row>
    <row r="39" spans="1:12" x14ac:dyDescent="0.3">
      <c r="A39" t="s">
        <v>64</v>
      </c>
      <c r="B39" t="s">
        <v>13</v>
      </c>
      <c r="C39">
        <v>2018</v>
      </c>
      <c r="D39" t="s">
        <v>14</v>
      </c>
      <c r="E39" t="s">
        <v>27</v>
      </c>
      <c r="F39">
        <v>4</v>
      </c>
      <c r="G39">
        <v>870</v>
      </c>
      <c r="H39">
        <v>100</v>
      </c>
      <c r="I39">
        <v>61</v>
      </c>
      <c r="J39">
        <v>72</v>
      </c>
      <c r="K39" t="s">
        <v>20</v>
      </c>
      <c r="L39">
        <v>2</v>
      </c>
    </row>
    <row r="40" spans="1:12" x14ac:dyDescent="0.3">
      <c r="A40" t="s">
        <v>65</v>
      </c>
      <c r="B40" t="s">
        <v>18</v>
      </c>
      <c r="C40">
        <v>2021</v>
      </c>
      <c r="D40" t="s">
        <v>14</v>
      </c>
      <c r="E40" t="s">
        <v>15</v>
      </c>
      <c r="F40">
        <v>6</v>
      </c>
      <c r="G40">
        <v>450</v>
      </c>
      <c r="H40">
        <v>90</v>
      </c>
      <c r="I40">
        <v>84</v>
      </c>
      <c r="J40">
        <v>36</v>
      </c>
      <c r="K40" t="s">
        <v>16</v>
      </c>
      <c r="L40">
        <v>4</v>
      </c>
    </row>
    <row r="41" spans="1:12" x14ac:dyDescent="0.3">
      <c r="A41" t="s">
        <v>66</v>
      </c>
      <c r="B41" t="s">
        <v>26</v>
      </c>
      <c r="C41">
        <v>2022</v>
      </c>
      <c r="D41" t="s">
        <v>14</v>
      </c>
      <c r="E41" t="s">
        <v>19</v>
      </c>
      <c r="F41">
        <v>8</v>
      </c>
      <c r="G41">
        <v>330</v>
      </c>
      <c r="H41">
        <v>85</v>
      </c>
      <c r="I41">
        <v>91</v>
      </c>
      <c r="J41">
        <v>24</v>
      </c>
      <c r="K41" t="s">
        <v>16</v>
      </c>
      <c r="L41">
        <v>5</v>
      </c>
    </row>
    <row r="42" spans="1:12" x14ac:dyDescent="0.3">
      <c r="A42" t="s">
        <v>67</v>
      </c>
      <c r="B42" t="s">
        <v>29</v>
      </c>
      <c r="C42">
        <v>2019</v>
      </c>
      <c r="D42" t="s">
        <v>14</v>
      </c>
      <c r="E42" t="s">
        <v>15</v>
      </c>
      <c r="F42">
        <v>6</v>
      </c>
      <c r="G42">
        <v>640</v>
      </c>
      <c r="H42">
        <v>95</v>
      </c>
      <c r="I42">
        <v>74</v>
      </c>
      <c r="J42">
        <v>60</v>
      </c>
      <c r="K42" t="s">
        <v>16</v>
      </c>
      <c r="L42">
        <v>3</v>
      </c>
    </row>
    <row r="43" spans="1:12" x14ac:dyDescent="0.3">
      <c r="A43" t="s">
        <v>68</v>
      </c>
      <c r="B43" t="s">
        <v>32</v>
      </c>
      <c r="C43">
        <v>2023</v>
      </c>
      <c r="D43" t="s">
        <v>14</v>
      </c>
      <c r="E43" t="s">
        <v>27</v>
      </c>
      <c r="F43">
        <v>5</v>
      </c>
      <c r="G43">
        <v>190</v>
      </c>
      <c r="H43">
        <v>90</v>
      </c>
      <c r="I43">
        <v>97</v>
      </c>
      <c r="J43">
        <v>12</v>
      </c>
      <c r="K43" t="s">
        <v>16</v>
      </c>
      <c r="L43">
        <v>5</v>
      </c>
    </row>
    <row r="44" spans="1:12" x14ac:dyDescent="0.3">
      <c r="A44" t="s">
        <v>69</v>
      </c>
      <c r="B44" t="s">
        <v>22</v>
      </c>
      <c r="C44">
        <v>2018</v>
      </c>
      <c r="D44" t="s">
        <v>23</v>
      </c>
      <c r="E44" t="s">
        <v>24</v>
      </c>
      <c r="F44">
        <v>7</v>
      </c>
      <c r="G44">
        <v>760</v>
      </c>
      <c r="H44">
        <v>85</v>
      </c>
      <c r="I44">
        <v>78</v>
      </c>
      <c r="J44">
        <v>72</v>
      </c>
      <c r="K44" t="s">
        <v>16</v>
      </c>
      <c r="L44">
        <v>3</v>
      </c>
    </row>
    <row r="45" spans="1:12" x14ac:dyDescent="0.3">
      <c r="A45" t="s">
        <v>70</v>
      </c>
      <c r="B45" t="s">
        <v>13</v>
      </c>
      <c r="C45">
        <v>2020</v>
      </c>
      <c r="D45" t="s">
        <v>14</v>
      </c>
      <c r="E45" t="s">
        <v>15</v>
      </c>
      <c r="F45">
        <v>6</v>
      </c>
      <c r="G45">
        <v>560</v>
      </c>
      <c r="H45">
        <v>95</v>
      </c>
      <c r="I45">
        <v>79</v>
      </c>
      <c r="J45">
        <v>48</v>
      </c>
      <c r="K45" t="s">
        <v>16</v>
      </c>
      <c r="L45">
        <v>3</v>
      </c>
    </row>
    <row r="46" spans="1:12" x14ac:dyDescent="0.3">
      <c r="A46" t="s">
        <v>71</v>
      </c>
      <c r="B46" t="s">
        <v>18</v>
      </c>
      <c r="C46">
        <v>2022</v>
      </c>
      <c r="D46" t="s">
        <v>14</v>
      </c>
      <c r="E46" t="s">
        <v>19</v>
      </c>
      <c r="F46">
        <v>8</v>
      </c>
      <c r="G46">
        <v>340</v>
      </c>
      <c r="H46">
        <v>90</v>
      </c>
      <c r="I46">
        <v>90</v>
      </c>
      <c r="J46">
        <v>24</v>
      </c>
      <c r="K46" t="s">
        <v>16</v>
      </c>
      <c r="L46">
        <v>5</v>
      </c>
    </row>
    <row r="47" spans="1:12" x14ac:dyDescent="0.3">
      <c r="A47" t="s">
        <v>72</v>
      </c>
      <c r="B47" t="s">
        <v>26</v>
      </c>
      <c r="C47">
        <v>2018</v>
      </c>
      <c r="D47" t="s">
        <v>14</v>
      </c>
      <c r="E47" t="s">
        <v>27</v>
      </c>
      <c r="F47">
        <v>5</v>
      </c>
      <c r="G47">
        <v>820</v>
      </c>
      <c r="H47">
        <v>100</v>
      </c>
      <c r="I47">
        <v>63</v>
      </c>
      <c r="J47">
        <v>72</v>
      </c>
      <c r="K47" t="s">
        <v>20</v>
      </c>
      <c r="L47">
        <v>2</v>
      </c>
    </row>
    <row r="48" spans="1:12" x14ac:dyDescent="0.3">
      <c r="A48" t="s">
        <v>73</v>
      </c>
      <c r="B48" t="s">
        <v>29</v>
      </c>
      <c r="C48">
        <v>2021</v>
      </c>
      <c r="D48" t="s">
        <v>14</v>
      </c>
      <c r="E48" t="s">
        <v>15</v>
      </c>
      <c r="F48">
        <v>6</v>
      </c>
      <c r="G48">
        <v>470</v>
      </c>
      <c r="H48">
        <v>90</v>
      </c>
      <c r="I48">
        <v>84</v>
      </c>
      <c r="J48">
        <v>36</v>
      </c>
      <c r="K48" t="s">
        <v>16</v>
      </c>
      <c r="L48">
        <v>4</v>
      </c>
    </row>
    <row r="49" spans="1:12" x14ac:dyDescent="0.3">
      <c r="A49" t="s">
        <v>74</v>
      </c>
      <c r="B49" t="s">
        <v>32</v>
      </c>
      <c r="C49">
        <v>2020</v>
      </c>
      <c r="D49" t="s">
        <v>14</v>
      </c>
      <c r="E49" t="s">
        <v>30</v>
      </c>
      <c r="F49">
        <v>9</v>
      </c>
      <c r="G49">
        <v>710</v>
      </c>
      <c r="H49">
        <v>100</v>
      </c>
      <c r="I49">
        <v>69</v>
      </c>
      <c r="J49">
        <v>48</v>
      </c>
      <c r="K49" t="s">
        <v>20</v>
      </c>
      <c r="L49">
        <v>2</v>
      </c>
    </row>
    <row r="50" spans="1:12" x14ac:dyDescent="0.3">
      <c r="A50" t="s">
        <v>75</v>
      </c>
      <c r="B50" t="s">
        <v>22</v>
      </c>
      <c r="C50">
        <v>2021</v>
      </c>
      <c r="D50" t="s">
        <v>23</v>
      </c>
      <c r="E50" t="s">
        <v>19</v>
      </c>
      <c r="F50">
        <v>7</v>
      </c>
      <c r="G50">
        <v>380</v>
      </c>
      <c r="H50">
        <v>80</v>
      </c>
      <c r="I50">
        <v>92</v>
      </c>
      <c r="J50">
        <v>36</v>
      </c>
      <c r="K50" t="s">
        <v>16</v>
      </c>
      <c r="L50">
        <v>5</v>
      </c>
    </row>
    <row r="51" spans="1:12" x14ac:dyDescent="0.3">
      <c r="A51" t="s">
        <v>76</v>
      </c>
      <c r="B51" t="s">
        <v>13</v>
      </c>
      <c r="C51">
        <v>2023</v>
      </c>
      <c r="D51" t="s">
        <v>14</v>
      </c>
      <c r="E51" t="s">
        <v>15</v>
      </c>
      <c r="F51">
        <v>6</v>
      </c>
      <c r="G51">
        <v>200</v>
      </c>
      <c r="H51">
        <v>85</v>
      </c>
      <c r="I51">
        <v>98</v>
      </c>
      <c r="J51">
        <v>12</v>
      </c>
      <c r="K51" t="s">
        <v>16</v>
      </c>
      <c r="L51">
        <v>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849E4-D20B-4315-9256-8D04146764C4}">
  <dimension ref="A1"/>
  <sheetViews>
    <sheetView tabSelected="1" zoomScale="78" workbookViewId="0">
      <selection activeCell="Y5" sqref="Y5"/>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13107-2973-40AB-91ED-44E46CB17633}">
  <dimension ref="A1:H10"/>
  <sheetViews>
    <sheetView workbookViewId="0">
      <selection activeCell="D16" sqref="D16"/>
    </sheetView>
  </sheetViews>
  <sheetFormatPr defaultRowHeight="14.4" x14ac:dyDescent="0.3"/>
  <cols>
    <col min="1" max="1" width="30.33203125" bestFit="1" customWidth="1"/>
    <col min="2" max="2" width="12" bestFit="1" customWidth="1"/>
    <col min="3" max="3" width="10.44140625" customWidth="1"/>
    <col min="4" max="4" width="32.6640625" bestFit="1" customWidth="1"/>
    <col min="8" max="8" width="29" bestFit="1" customWidth="1"/>
  </cols>
  <sheetData>
    <row r="1" spans="1:8" ht="29.4" x14ac:dyDescent="0.65">
      <c r="H1" s="6" t="s">
        <v>84</v>
      </c>
    </row>
    <row r="2" spans="1:8" x14ac:dyDescent="0.3">
      <c r="A2" t="s">
        <v>96</v>
      </c>
      <c r="B2" t="s">
        <v>97</v>
      </c>
      <c r="C2" t="s">
        <v>98</v>
      </c>
      <c r="D2" t="s">
        <v>99</v>
      </c>
    </row>
    <row r="3" spans="1:8" x14ac:dyDescent="0.3">
      <c r="A3" t="s">
        <v>94</v>
      </c>
      <c r="B3" t="s">
        <v>95</v>
      </c>
      <c r="D3" t="s">
        <v>90</v>
      </c>
    </row>
    <row r="5" spans="1:8" x14ac:dyDescent="0.3">
      <c r="A5" t="s">
        <v>85</v>
      </c>
      <c r="B5" s="7">
        <f>AVERAGE(Table1[battery_health_percent])</f>
        <v>80.16</v>
      </c>
      <c r="D5" t="s">
        <v>91</v>
      </c>
    </row>
    <row r="6" spans="1:8" x14ac:dyDescent="0.3">
      <c r="A6" t="s">
        <v>86</v>
      </c>
      <c r="B6">
        <f>AVERAGE(Table1[daily_usage_hours])</f>
        <v>6.6</v>
      </c>
      <c r="D6" t="s">
        <v>92</v>
      </c>
    </row>
    <row r="7" spans="1:8" x14ac:dyDescent="0.3">
      <c r="A7" t="s">
        <v>87</v>
      </c>
      <c r="B7">
        <f>AVERAGE(Table1[charging_cycles])</f>
        <v>526.4</v>
      </c>
    </row>
    <row r="9" spans="1:8" x14ac:dyDescent="0.3">
      <c r="A9" t="s">
        <v>88</v>
      </c>
      <c r="B9">
        <f>SUM(Table1[charging_cycles])</f>
        <v>26320</v>
      </c>
      <c r="D9" t="s">
        <v>89</v>
      </c>
    </row>
    <row r="10" spans="1:8" x14ac:dyDescent="0.3">
      <c r="A10" t="s">
        <v>93</v>
      </c>
      <c r="B10" s="8">
        <f>laptop_battery_health_usage!H2-laptop_battery_health_usage!I2</f>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Count Of Usage Type</vt:lpstr>
      <vt:lpstr>Usage type Charging Cycles</vt:lpstr>
      <vt:lpstr>Performance Rating</vt:lpstr>
      <vt:lpstr>Sum Of Charging Cycles</vt:lpstr>
      <vt:lpstr>Sheet2</vt:lpstr>
      <vt:lpstr>Avg Charge Limit Percent</vt:lpstr>
      <vt:lpstr>laptop_battery_health_usage</vt:lpstr>
      <vt:lpstr>dashboard</vt:lpstr>
      <vt:lpstr>KPI Calculation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RUTUJA KOLTE</dc:creator>
  <cp:lastModifiedBy>RUTUJA KOLTE</cp:lastModifiedBy>
  <dcterms:created xsi:type="dcterms:W3CDTF">2025-12-30T12:06:25Z</dcterms:created>
  <dcterms:modified xsi:type="dcterms:W3CDTF">2026-01-02T16:35:42Z</dcterms:modified>
</cp:coreProperties>
</file>